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C:\Users\Bibo\Downloads\"/>
    </mc:Choice>
  </mc:AlternateContent>
  <xr:revisionPtr revIDLastSave="0" documentId="13_ncr:1_{6CC68B82-82ED-431F-90E5-82A88C3E5EFC}" xr6:coauthVersionLast="46" xr6:coauthVersionMax="46" xr10:uidLastSave="{00000000-0000-0000-0000-000000000000}"/>
  <workbookProtection workbookAlgorithmName="SHA-512" workbookHashValue="mh3MWTUseVQfseyX+EDrX0wAJS8Eo7ddchD2Sa9uetwQ3aQcRGqYlkmA4mTLb6cvfY+3ATK3wZoMNsOWEZHGkA==" workbookSaltValue="f9zUHf5df+VU0U9ObU7SuA==" workbookSpinCount="100000" lockStructure="1"/>
  <bookViews>
    <workbookView xWindow="-120" yWindow="-120" windowWidth="20730" windowHeight="11160" tabRatio="761" firstSheet="1" activeTab="3" xr2:uid="{00000000-000D-0000-FFFF-FFFF00000000}"/>
  </bookViews>
  <sheets>
    <sheet name="القائمة الإسمية للمترشحين" sheetId="6" r:id="rId1"/>
    <sheet name="حجز النقاط المقياس الأول" sheetId="4" r:id="rId2"/>
    <sheet name="حجز النقاط المقياس الثاني" sheetId="8" r:id="rId3"/>
    <sheet name="المحضر النهائي+ ِCode" sheetId="2" r:id="rId4"/>
    <sheet name="المحضر النهــائي للمسابقة " sheetId="9" r:id="rId5"/>
    <sheet name="قتح الأقفال " sheetId="10" r:id="rId6"/>
  </sheets>
  <definedNames>
    <definedName name="_xlnm._FilterDatabase" localSheetId="3" hidden="1">'المحضر النهائي+ ِCode'!$A$16:$H$16</definedName>
    <definedName name="_xlnm.Print_Area" localSheetId="0">'القائمة الإسمية للمترشحين'!$A$1:$G$96</definedName>
    <definedName name="_xlnm.Print_Area" localSheetId="4">'المحضر النهــائي للمسابقة '!$A$1:$O$128</definedName>
    <definedName name="_xlnm.Print_Area" localSheetId="3">'المحضر النهائي+ ِCode'!$A$1:$H$69</definedName>
    <definedName name="_xlnm.Print_Area" localSheetId="1">'حجز النقاط المقياس الأول'!$A$1:$M$68</definedName>
    <definedName name="_xlnm.Print_Area" localSheetId="2">'حجز النقاط المقياس الثاني'!$A$1:$M$68</definedName>
  </definedNames>
  <calcPr calcId="181029"/>
  <fileRecoveryPr autoRecover="0"/>
</workbook>
</file>

<file path=xl/calcChain.xml><?xml version="1.0" encoding="utf-8"?>
<calcChain xmlns="http://schemas.openxmlformats.org/spreadsheetml/2006/main">
  <c r="J16" i="8" l="1"/>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H16" i="8"/>
  <c r="H17" i="8"/>
  <c r="P17" i="8" s="1"/>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J15" i="8"/>
  <c r="I15" i="8"/>
  <c r="H15" i="8"/>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H16" i="4"/>
  <c r="P16" i="4" s="1"/>
  <c r="H17" i="4"/>
  <c r="H18" i="4"/>
  <c r="H19" i="4"/>
  <c r="P19" i="4" s="1"/>
  <c r="H20" i="4"/>
  <c r="P20" i="4" s="1"/>
  <c r="H21" i="4"/>
  <c r="P21" i="4" s="1"/>
  <c r="H22" i="4"/>
  <c r="H23" i="4"/>
  <c r="P23" i="4" s="1"/>
  <c r="H24" i="4"/>
  <c r="P24" i="4" s="1"/>
  <c r="H25" i="4"/>
  <c r="P25" i="4" s="1"/>
  <c r="H26" i="4"/>
  <c r="P26" i="4" s="1"/>
  <c r="H27" i="4"/>
  <c r="P27" i="4" s="1"/>
  <c r="H28" i="4"/>
  <c r="P28" i="4" s="1"/>
  <c r="H29" i="4"/>
  <c r="P29" i="4" s="1"/>
  <c r="H30" i="4"/>
  <c r="P30" i="4" s="1"/>
  <c r="H31" i="4"/>
  <c r="P31" i="4" s="1"/>
  <c r="H32" i="4"/>
  <c r="P32" i="4" s="1"/>
  <c r="H33" i="4"/>
  <c r="P33" i="4" s="1"/>
  <c r="H34" i="4"/>
  <c r="P34" i="4" s="1"/>
  <c r="H35" i="4"/>
  <c r="P35" i="4" s="1"/>
  <c r="H36" i="4"/>
  <c r="P36" i="4" s="1"/>
  <c r="H37" i="4"/>
  <c r="P37" i="4" s="1"/>
  <c r="H38" i="4"/>
  <c r="P38" i="4" s="1"/>
  <c r="H39" i="4"/>
  <c r="P39" i="4" s="1"/>
  <c r="H40" i="4"/>
  <c r="P40" i="4" s="1"/>
  <c r="H41" i="4"/>
  <c r="P41" i="4" s="1"/>
  <c r="H42" i="4"/>
  <c r="P42" i="4" s="1"/>
  <c r="H43" i="4"/>
  <c r="P43" i="4" s="1"/>
  <c r="H44" i="4"/>
  <c r="P44" i="4" s="1"/>
  <c r="H45" i="4"/>
  <c r="P45" i="4" s="1"/>
  <c r="H46" i="4"/>
  <c r="P46" i="4" s="1"/>
  <c r="H47" i="4"/>
  <c r="P47" i="4" s="1"/>
  <c r="H48" i="4"/>
  <c r="P48" i="4" s="1"/>
  <c r="H49" i="4"/>
  <c r="P49" i="4" s="1"/>
  <c r="H50" i="4"/>
  <c r="P50" i="4" s="1"/>
  <c r="H51" i="4"/>
  <c r="P51" i="4" s="1"/>
  <c r="H52" i="4"/>
  <c r="P52" i="4" s="1"/>
  <c r="H53" i="4"/>
  <c r="P53" i="4" s="1"/>
  <c r="H54" i="4"/>
  <c r="P54" i="4" s="1"/>
  <c r="H55" i="4"/>
  <c r="P55" i="4" s="1"/>
  <c r="H56" i="4"/>
  <c r="P56" i="4" s="1"/>
  <c r="H57" i="4"/>
  <c r="P57" i="4" s="1"/>
  <c r="H58" i="4"/>
  <c r="P58" i="4" s="1"/>
  <c r="H59" i="4"/>
  <c r="P59" i="4" s="1"/>
  <c r="H60" i="4"/>
  <c r="P60" i="4" s="1"/>
  <c r="H61" i="4"/>
  <c r="P61" i="4" s="1"/>
  <c r="H62" i="4"/>
  <c r="P62" i="4" s="1"/>
  <c r="H63" i="4"/>
  <c r="P63" i="4" s="1"/>
  <c r="H64" i="4"/>
  <c r="P64" i="4" s="1"/>
  <c r="H65" i="4"/>
  <c r="P65" i="4" s="1"/>
  <c r="P18" i="4" l="1"/>
  <c r="P22" i="4"/>
  <c r="P15" i="8"/>
  <c r="P65" i="8"/>
  <c r="R65" i="8" s="1"/>
  <c r="P63" i="8"/>
  <c r="S63" i="8" s="1"/>
  <c r="P61" i="8"/>
  <c r="R61" i="8" s="1"/>
  <c r="P59" i="8"/>
  <c r="S59" i="8" s="1"/>
  <c r="P57" i="8"/>
  <c r="R57" i="8" s="1"/>
  <c r="P55" i="8"/>
  <c r="S55" i="8" s="1"/>
  <c r="P53" i="8"/>
  <c r="R53" i="8" s="1"/>
  <c r="P51" i="8"/>
  <c r="S51" i="8" s="1"/>
  <c r="P49" i="8"/>
  <c r="R49" i="8" s="1"/>
  <c r="P47" i="8"/>
  <c r="S47" i="8" s="1"/>
  <c r="P45" i="8"/>
  <c r="R45" i="8" s="1"/>
  <c r="P43" i="8"/>
  <c r="S43" i="8" s="1"/>
  <c r="P41" i="8"/>
  <c r="R41" i="8" s="1"/>
  <c r="P39" i="8"/>
  <c r="S39" i="8" s="1"/>
  <c r="P37" i="8"/>
  <c r="R37" i="8" s="1"/>
  <c r="P35" i="8"/>
  <c r="S35" i="8" s="1"/>
  <c r="P33" i="8"/>
  <c r="R33" i="8" s="1"/>
  <c r="P31" i="8"/>
  <c r="S31" i="8" s="1"/>
  <c r="P29" i="8"/>
  <c r="R29" i="8" s="1"/>
  <c r="P27" i="8"/>
  <c r="S27" i="8" s="1"/>
  <c r="P25" i="8"/>
  <c r="R25" i="8" s="1"/>
  <c r="P23" i="8"/>
  <c r="S23" i="8" s="1"/>
  <c r="P21" i="8"/>
  <c r="R21" i="8" s="1"/>
  <c r="P19" i="8"/>
  <c r="S19" i="8" s="1"/>
  <c r="P64" i="8"/>
  <c r="R64" i="8" s="1"/>
  <c r="P62" i="8"/>
  <c r="S62" i="8" s="1"/>
  <c r="P60" i="8"/>
  <c r="R60" i="8" s="1"/>
  <c r="P58" i="8"/>
  <c r="S58" i="8" s="1"/>
  <c r="P56" i="8"/>
  <c r="R56" i="8" s="1"/>
  <c r="P54" i="8"/>
  <c r="S54" i="8" s="1"/>
  <c r="P52" i="8"/>
  <c r="R52" i="8" s="1"/>
  <c r="P50" i="8"/>
  <c r="S50" i="8" s="1"/>
  <c r="P48" i="8"/>
  <c r="R48" i="8" s="1"/>
  <c r="P46" i="8"/>
  <c r="S46" i="8" s="1"/>
  <c r="P44" i="8"/>
  <c r="R44" i="8" s="1"/>
  <c r="P42" i="8"/>
  <c r="S42" i="8" s="1"/>
  <c r="P40" i="8"/>
  <c r="R40" i="8" s="1"/>
  <c r="P38" i="8"/>
  <c r="S38" i="8" s="1"/>
  <c r="P36" i="8"/>
  <c r="R36" i="8" s="1"/>
  <c r="P34" i="8"/>
  <c r="S34" i="8" s="1"/>
  <c r="P32" i="8"/>
  <c r="R32" i="8" s="1"/>
  <c r="P30" i="8"/>
  <c r="R30" i="8" s="1"/>
  <c r="P28" i="8"/>
  <c r="R28" i="8" s="1"/>
  <c r="P26" i="8"/>
  <c r="R26" i="8" s="1"/>
  <c r="P24" i="8"/>
  <c r="S24" i="8" s="1"/>
  <c r="P22" i="8"/>
  <c r="R22" i="8" s="1"/>
  <c r="P20" i="8"/>
  <c r="R20" i="8" s="1"/>
  <c r="R62" i="8"/>
  <c r="S60" i="8"/>
  <c r="R58" i="8"/>
  <c r="R54" i="8"/>
  <c r="S52" i="8"/>
  <c r="R50" i="8"/>
  <c r="R46" i="8"/>
  <c r="S44" i="8"/>
  <c r="R42" i="8"/>
  <c r="R38" i="8"/>
  <c r="S36" i="8"/>
  <c r="R34" i="8"/>
  <c r="S30" i="8"/>
  <c r="Q30" i="8"/>
  <c r="Q28" i="8"/>
  <c r="S26" i="8"/>
  <c r="Q26" i="8"/>
  <c r="S22" i="8"/>
  <c r="Q22" i="8"/>
  <c r="S20" i="8"/>
  <c r="Q65" i="8"/>
  <c r="R63" i="8"/>
  <c r="S61" i="8"/>
  <c r="Q61" i="8"/>
  <c r="R59" i="8"/>
  <c r="R55" i="8"/>
  <c r="S53" i="8"/>
  <c r="Q53" i="8"/>
  <c r="R51" i="8"/>
  <c r="Q49" i="8"/>
  <c r="R47" i="8"/>
  <c r="S45" i="8"/>
  <c r="Q45" i="8"/>
  <c r="R43" i="8"/>
  <c r="R39" i="8"/>
  <c r="S37" i="8"/>
  <c r="Q37" i="8"/>
  <c r="R35" i="8"/>
  <c r="Q33" i="8"/>
  <c r="R31" i="8"/>
  <c r="S29" i="8"/>
  <c r="Q29" i="8"/>
  <c r="R27" i="8"/>
  <c r="R23" i="8"/>
  <c r="S21" i="8"/>
  <c r="Q21" i="8"/>
  <c r="R19" i="8"/>
  <c r="Q32" i="8"/>
  <c r="P18" i="8"/>
  <c r="S18" i="8" s="1"/>
  <c r="P16" i="8"/>
  <c r="S16" i="8" s="1"/>
  <c r="S17" i="8"/>
  <c r="R17" i="8"/>
  <c r="Q17" i="8"/>
  <c r="Q16" i="8"/>
  <c r="S15" i="8"/>
  <c r="R15" i="8"/>
  <c r="Q15" i="8"/>
  <c r="P17" i="4"/>
  <c r="S17" i="4" s="1"/>
  <c r="S16" i="4"/>
  <c r="Q16" i="4"/>
  <c r="R16" i="4"/>
  <c r="R64" i="4"/>
  <c r="S64" i="4"/>
  <c r="Q64" i="4"/>
  <c r="R62" i="4"/>
  <c r="S62" i="4"/>
  <c r="Q62" i="4"/>
  <c r="R60" i="4"/>
  <c r="S60" i="4"/>
  <c r="Q60" i="4"/>
  <c r="R58" i="4"/>
  <c r="S58" i="4"/>
  <c r="Q58" i="4"/>
  <c r="R56" i="4"/>
  <c r="S56" i="4"/>
  <c r="Q56" i="4"/>
  <c r="R52" i="4"/>
  <c r="S52" i="4"/>
  <c r="Q52" i="4"/>
  <c r="R50" i="4"/>
  <c r="S50" i="4"/>
  <c r="Q50" i="4"/>
  <c r="R48" i="4"/>
  <c r="S48" i="4"/>
  <c r="Q48" i="4"/>
  <c r="R46" i="4"/>
  <c r="S46" i="4"/>
  <c r="Q46" i="4"/>
  <c r="R44" i="4"/>
  <c r="S44" i="4"/>
  <c r="Q44" i="4"/>
  <c r="R42" i="4"/>
  <c r="S42" i="4"/>
  <c r="Q42" i="4"/>
  <c r="R40" i="4"/>
  <c r="S40" i="4"/>
  <c r="Q40" i="4"/>
  <c r="R38" i="4"/>
  <c r="S38" i="4"/>
  <c r="Q38" i="4"/>
  <c r="R36" i="4"/>
  <c r="S36" i="4"/>
  <c r="Q36" i="4"/>
  <c r="R34" i="4"/>
  <c r="S34" i="4"/>
  <c r="Q34" i="4"/>
  <c r="R32" i="4"/>
  <c r="S32" i="4"/>
  <c r="Q32" i="4"/>
  <c r="R30" i="4"/>
  <c r="S30" i="4"/>
  <c r="Q30" i="4"/>
  <c r="R28" i="4"/>
  <c r="S28" i="4"/>
  <c r="Q28" i="4"/>
  <c r="R26" i="4"/>
  <c r="S26" i="4"/>
  <c r="Q26" i="4"/>
  <c r="R24" i="4"/>
  <c r="S24" i="4"/>
  <c r="Q24" i="4"/>
  <c r="R20" i="4"/>
  <c r="S20" i="4"/>
  <c r="Q20" i="4"/>
  <c r="S65" i="4"/>
  <c r="Q65" i="4"/>
  <c r="R65" i="4"/>
  <c r="S63" i="4"/>
  <c r="Q63" i="4"/>
  <c r="R63" i="4"/>
  <c r="S61" i="4"/>
  <c r="Q61" i="4"/>
  <c r="R61" i="4"/>
  <c r="S59" i="4"/>
  <c r="Q59" i="4"/>
  <c r="R59" i="4"/>
  <c r="S57" i="4"/>
  <c r="Q57" i="4"/>
  <c r="R57" i="4"/>
  <c r="S55" i="4"/>
  <c r="Q55" i="4"/>
  <c r="R55" i="4"/>
  <c r="S53" i="4"/>
  <c r="Q53" i="4"/>
  <c r="R53" i="4"/>
  <c r="S51" i="4"/>
  <c r="Q51" i="4"/>
  <c r="R51" i="4"/>
  <c r="S49" i="4"/>
  <c r="Q49" i="4"/>
  <c r="R49" i="4"/>
  <c r="S47" i="4"/>
  <c r="Q47" i="4"/>
  <c r="R47" i="4"/>
  <c r="S45" i="4"/>
  <c r="Q45" i="4"/>
  <c r="R45" i="4"/>
  <c r="S43" i="4"/>
  <c r="Q43" i="4"/>
  <c r="R43" i="4"/>
  <c r="S41" i="4"/>
  <c r="Q41" i="4"/>
  <c r="R41" i="4"/>
  <c r="S39" i="4"/>
  <c r="Q39" i="4"/>
  <c r="R39" i="4"/>
  <c r="S37" i="4"/>
  <c r="Q37" i="4"/>
  <c r="R37" i="4"/>
  <c r="S35" i="4"/>
  <c r="Q35" i="4"/>
  <c r="R35" i="4"/>
  <c r="S33" i="4"/>
  <c r="Q33" i="4"/>
  <c r="R33" i="4"/>
  <c r="S31" i="4"/>
  <c r="Q31" i="4"/>
  <c r="R31" i="4"/>
  <c r="S29" i="4"/>
  <c r="Q29" i="4"/>
  <c r="R29" i="4"/>
  <c r="S27" i="4"/>
  <c r="Q27" i="4"/>
  <c r="R27" i="4"/>
  <c r="S25" i="4"/>
  <c r="Q25" i="4"/>
  <c r="R25" i="4"/>
  <c r="S23" i="4"/>
  <c r="Q23" i="4"/>
  <c r="R23" i="4"/>
  <c r="S21" i="4"/>
  <c r="Q21" i="4"/>
  <c r="R21" i="4"/>
  <c r="S19" i="4"/>
  <c r="Q19" i="4"/>
  <c r="R19" i="4"/>
  <c r="R54" i="4"/>
  <c r="S54" i="4"/>
  <c r="Q54" i="4"/>
  <c r="R22" i="4"/>
  <c r="S22" i="4"/>
  <c r="Q22" i="4"/>
  <c r="S18" i="4"/>
  <c r="R18" i="4"/>
  <c r="Q18" i="4"/>
  <c r="S32" i="8" l="1"/>
  <c r="S33" i="8"/>
  <c r="S49" i="8"/>
  <c r="S65" i="8"/>
  <c r="L65" i="8" s="1"/>
  <c r="D67" i="2" s="1"/>
  <c r="Q40" i="8"/>
  <c r="Q48" i="8"/>
  <c r="Q56" i="8"/>
  <c r="Q64" i="8"/>
  <c r="Q25" i="8"/>
  <c r="Q41" i="8"/>
  <c r="Q57" i="8"/>
  <c r="S25" i="8"/>
  <c r="L25" i="8" s="1"/>
  <c r="D27" i="2" s="1"/>
  <c r="S41" i="8"/>
  <c r="S57" i="8"/>
  <c r="L15" i="8"/>
  <c r="D17" i="2" s="1"/>
  <c r="Q20" i="8"/>
  <c r="L20" i="8" s="1"/>
  <c r="D22" i="2" s="1"/>
  <c r="R24" i="8"/>
  <c r="S28" i="8"/>
  <c r="Q36" i="8"/>
  <c r="S40" i="8"/>
  <c r="L40" i="8" s="1"/>
  <c r="D42" i="2" s="1"/>
  <c r="Q44" i="8"/>
  <c r="S48" i="8"/>
  <c r="Q52" i="8"/>
  <c r="S56" i="8"/>
  <c r="L56" i="8" s="1"/>
  <c r="D58" i="2" s="1"/>
  <c r="Q60" i="8"/>
  <c r="S64" i="8"/>
  <c r="L16" i="4"/>
  <c r="C18" i="2" s="1"/>
  <c r="Q17" i="4"/>
  <c r="L17" i="4" s="1"/>
  <c r="C19" i="2" s="1"/>
  <c r="R17" i="4"/>
  <c r="R18" i="8"/>
  <c r="Q24" i="8"/>
  <c r="Q18" i="8"/>
  <c r="L18" i="8" s="1"/>
  <c r="D20" i="2" s="1"/>
  <c r="L32" i="8"/>
  <c r="D34" i="2" s="1"/>
  <c r="Q19" i="8"/>
  <c r="L19" i="8" s="1"/>
  <c r="D21" i="2" s="1"/>
  <c r="Q23" i="8"/>
  <c r="L23" i="8" s="1"/>
  <c r="D25" i="2" s="1"/>
  <c r="Q27" i="8"/>
  <c r="L27" i="8" s="1"/>
  <c r="D29" i="2" s="1"/>
  <c r="Q31" i="8"/>
  <c r="L31" i="8" s="1"/>
  <c r="D33" i="2" s="1"/>
  <c r="Q35" i="8"/>
  <c r="L35" i="8" s="1"/>
  <c r="D37" i="2" s="1"/>
  <c r="Q39" i="8"/>
  <c r="L39" i="8" s="1"/>
  <c r="D41" i="2" s="1"/>
  <c r="Q43" i="8"/>
  <c r="L43" i="8" s="1"/>
  <c r="D45" i="2" s="1"/>
  <c r="Q47" i="8"/>
  <c r="L47" i="8" s="1"/>
  <c r="D49" i="2" s="1"/>
  <c r="Q51" i="8"/>
  <c r="L51" i="8" s="1"/>
  <c r="D53" i="2" s="1"/>
  <c r="Q55" i="8"/>
  <c r="L55" i="8" s="1"/>
  <c r="D57" i="2" s="1"/>
  <c r="Q59" i="8"/>
  <c r="L59" i="8" s="1"/>
  <c r="D61" i="2" s="1"/>
  <c r="Q63" i="8"/>
  <c r="L63" i="8" s="1"/>
  <c r="D65" i="2" s="1"/>
  <c r="L24" i="8"/>
  <c r="D26" i="2" s="1"/>
  <c r="L28" i="8"/>
  <c r="D30" i="2" s="1"/>
  <c r="Q34" i="8"/>
  <c r="L34" i="8" s="1"/>
  <c r="D36" i="2" s="1"/>
  <c r="Q38" i="8"/>
  <c r="L38" i="8" s="1"/>
  <c r="D40" i="2" s="1"/>
  <c r="Q42" i="8"/>
  <c r="L42" i="8" s="1"/>
  <c r="D44" i="2" s="1"/>
  <c r="Q46" i="8"/>
  <c r="L46" i="8" s="1"/>
  <c r="D48" i="2" s="1"/>
  <c r="Q50" i="8"/>
  <c r="L50" i="8" s="1"/>
  <c r="D52" i="2" s="1"/>
  <c r="Q54" i="8"/>
  <c r="L54" i="8" s="1"/>
  <c r="D56" i="2" s="1"/>
  <c r="Q58" i="8"/>
  <c r="L58" i="8" s="1"/>
  <c r="D60" i="2" s="1"/>
  <c r="Q62" i="8"/>
  <c r="L62" i="8" s="1"/>
  <c r="D64" i="2" s="1"/>
  <c r="R16" i="8"/>
  <c r="L21" i="8"/>
  <c r="D23" i="2" s="1"/>
  <c r="L29" i="8"/>
  <c r="D31" i="2" s="1"/>
  <c r="L33" i="8"/>
  <c r="D35" i="2" s="1"/>
  <c r="L37" i="8"/>
  <c r="D39" i="2" s="1"/>
  <c r="L41" i="8"/>
  <c r="D43" i="2" s="1"/>
  <c r="L45" i="8"/>
  <c r="D47" i="2" s="1"/>
  <c r="L49" i="8"/>
  <c r="D51" i="2" s="1"/>
  <c r="L53" i="8"/>
  <c r="D55" i="2" s="1"/>
  <c r="L57" i="8"/>
  <c r="D59" i="2" s="1"/>
  <c r="L61" i="8"/>
  <c r="D63" i="2" s="1"/>
  <c r="L22" i="8"/>
  <c r="D24" i="2" s="1"/>
  <c r="L26" i="8"/>
  <c r="D28" i="2" s="1"/>
  <c r="L30" i="8"/>
  <c r="D32" i="2" s="1"/>
  <c r="L36" i="8"/>
  <c r="D38" i="2" s="1"/>
  <c r="L44" i="8"/>
  <c r="D46" i="2" s="1"/>
  <c r="L48" i="8"/>
  <c r="D50" i="2" s="1"/>
  <c r="L52" i="8"/>
  <c r="D54" i="2" s="1"/>
  <c r="L60" i="8"/>
  <c r="D62" i="2" s="1"/>
  <c r="L64" i="8"/>
  <c r="D66" i="2" s="1"/>
  <c r="L16" i="8"/>
  <c r="D18" i="2" s="1"/>
  <c r="L17" i="8"/>
  <c r="D19" i="2" s="1"/>
  <c r="L22" i="4"/>
  <c r="C24" i="2" s="1"/>
  <c r="L19" i="4"/>
  <c r="C21" i="2" s="1"/>
  <c r="L23" i="4"/>
  <c r="C25" i="2" s="1"/>
  <c r="L27" i="4"/>
  <c r="C29" i="2" s="1"/>
  <c r="L31" i="4"/>
  <c r="C33" i="2" s="1"/>
  <c r="L35" i="4"/>
  <c r="C37" i="2" s="1"/>
  <c r="L39" i="4"/>
  <c r="C41" i="2" s="1"/>
  <c r="L43" i="4"/>
  <c r="C45" i="2" s="1"/>
  <c r="L47" i="4"/>
  <c r="C49" i="2" s="1"/>
  <c r="L51" i="4"/>
  <c r="C53" i="2" s="1"/>
  <c r="L55" i="4"/>
  <c r="C57" i="2" s="1"/>
  <c r="L59" i="4"/>
  <c r="C61" i="2" s="1"/>
  <c r="L63" i="4"/>
  <c r="C65" i="2" s="1"/>
  <c r="L24" i="4"/>
  <c r="C26" i="2" s="1"/>
  <c r="L28" i="4"/>
  <c r="C30" i="2" s="1"/>
  <c r="L32" i="4"/>
  <c r="C34" i="2" s="1"/>
  <c r="L36" i="4"/>
  <c r="C38" i="2" s="1"/>
  <c r="L40" i="4"/>
  <c r="C42" i="2" s="1"/>
  <c r="L44" i="4"/>
  <c r="C46" i="2" s="1"/>
  <c r="L48" i="4"/>
  <c r="C50" i="2" s="1"/>
  <c r="L52" i="4"/>
  <c r="C54" i="2" s="1"/>
  <c r="L58" i="4"/>
  <c r="C60" i="2" s="1"/>
  <c r="L62" i="4"/>
  <c r="C64" i="2" s="1"/>
  <c r="L54" i="4"/>
  <c r="C56" i="2" s="1"/>
  <c r="L21" i="4"/>
  <c r="C23" i="2" s="1"/>
  <c r="L25" i="4"/>
  <c r="C27" i="2" s="1"/>
  <c r="L29" i="4"/>
  <c r="C31" i="2" s="1"/>
  <c r="L33" i="4"/>
  <c r="C35" i="2" s="1"/>
  <c r="L37" i="4"/>
  <c r="C39" i="2" s="1"/>
  <c r="L41" i="4"/>
  <c r="C43" i="2" s="1"/>
  <c r="L45" i="4"/>
  <c r="C47" i="2" s="1"/>
  <c r="L49" i="4"/>
  <c r="C51" i="2" s="1"/>
  <c r="L53" i="4"/>
  <c r="C55" i="2" s="1"/>
  <c r="L57" i="4"/>
  <c r="C59" i="2" s="1"/>
  <c r="L61" i="4"/>
  <c r="C63" i="2" s="1"/>
  <c r="L65" i="4"/>
  <c r="C67" i="2" s="1"/>
  <c r="L20" i="4"/>
  <c r="C22" i="2" s="1"/>
  <c r="L26" i="4"/>
  <c r="C28" i="2" s="1"/>
  <c r="L30" i="4"/>
  <c r="C32" i="2" s="1"/>
  <c r="L34" i="4"/>
  <c r="C36" i="2" s="1"/>
  <c r="L38" i="4"/>
  <c r="C40" i="2" s="1"/>
  <c r="L42" i="4"/>
  <c r="C44" i="2" s="1"/>
  <c r="L46" i="4"/>
  <c r="C48" i="2" s="1"/>
  <c r="L50" i="4"/>
  <c r="C52" i="2" s="1"/>
  <c r="L56" i="4"/>
  <c r="C58" i="2" s="1"/>
  <c r="L60" i="4"/>
  <c r="C62" i="2" s="1"/>
  <c r="L64" i="4"/>
  <c r="C66" i="2" s="1"/>
  <c r="L18" i="4"/>
  <c r="C20" i="2" s="1"/>
  <c r="I15" i="4" l="1"/>
  <c r="H15" i="4"/>
  <c r="J15" i="4"/>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17" i="2"/>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15" i="8"/>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15" i="4"/>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3" i="10"/>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15" i="8"/>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15" i="4"/>
  <c r="P15" i="4" l="1"/>
  <c r="S15" i="4" s="1"/>
  <c r="Q15" i="4"/>
  <c r="G16" i="8"/>
  <c r="H14" i="9"/>
  <c r="G17" i="8"/>
  <c r="K17" i="8"/>
  <c r="H27" i="9" s="1"/>
  <c r="G18" i="8"/>
  <c r="H25" i="9"/>
  <c r="G19" i="8"/>
  <c r="H33" i="9"/>
  <c r="G20" i="8"/>
  <c r="H36" i="9"/>
  <c r="G21" i="8"/>
  <c r="H34" i="9"/>
  <c r="G22" i="8"/>
  <c r="H22" i="9"/>
  <c r="G23" i="8"/>
  <c r="H38" i="9"/>
  <c r="G24" i="8"/>
  <c r="H32" i="9"/>
  <c r="G25" i="8"/>
  <c r="H21" i="9"/>
  <c r="G26" i="8"/>
  <c r="H39" i="9"/>
  <c r="G27" i="8"/>
  <c r="H15" i="9"/>
  <c r="G28" i="8"/>
  <c r="H31" i="9"/>
  <c r="G29" i="8"/>
  <c r="H40" i="9"/>
  <c r="G30" i="8"/>
  <c r="H30" i="9"/>
  <c r="G31" i="8"/>
  <c r="H18" i="9"/>
  <c r="G32" i="8"/>
  <c r="H47" i="9"/>
  <c r="G33" i="8"/>
  <c r="H16" i="9"/>
  <c r="G34" i="8"/>
  <c r="H35" i="9"/>
  <c r="G35" i="8"/>
  <c r="H45" i="9"/>
  <c r="G36" i="8"/>
  <c r="H37" i="9"/>
  <c r="G37" i="8"/>
  <c r="H26" i="9"/>
  <c r="G38" i="8"/>
  <c r="H24" i="9"/>
  <c r="G39" i="8"/>
  <c r="H20" i="9"/>
  <c r="G40" i="8"/>
  <c r="H17" i="9"/>
  <c r="G41" i="8"/>
  <c r="H44" i="9"/>
  <c r="G42" i="8"/>
  <c r="H28" i="9"/>
  <c r="G43" i="8"/>
  <c r="H23" i="9"/>
  <c r="G44" i="8"/>
  <c r="H42" i="9"/>
  <c r="G45" i="8"/>
  <c r="H48" i="9"/>
  <c r="G46" i="8"/>
  <c r="H19" i="9"/>
  <c r="G47" i="8"/>
  <c r="H29" i="9"/>
  <c r="G48" i="8"/>
  <c r="H41" i="9"/>
  <c r="G49" i="8"/>
  <c r="H46" i="9"/>
  <c r="G50" i="8"/>
  <c r="H43" i="9"/>
  <c r="G51" i="8"/>
  <c r="H111" i="9"/>
  <c r="G52" i="8"/>
  <c r="H110" i="9"/>
  <c r="G53" i="8"/>
  <c r="H49" i="9"/>
  <c r="G54" i="8"/>
  <c r="H112" i="9"/>
  <c r="G55" i="8"/>
  <c r="H109" i="9"/>
  <c r="G56" i="8"/>
  <c r="H50" i="9"/>
  <c r="G16" i="4"/>
  <c r="K16" i="4"/>
  <c r="G17" i="4"/>
  <c r="K17" i="4"/>
  <c r="G27" i="9" s="1"/>
  <c r="G18" i="4"/>
  <c r="K18" i="4"/>
  <c r="G25" i="9"/>
  <c r="G19" i="4"/>
  <c r="K19" i="4"/>
  <c r="G20" i="4"/>
  <c r="K20" i="4"/>
  <c r="G21" i="4"/>
  <c r="K21" i="4"/>
  <c r="G34" i="9"/>
  <c r="G22" i="4"/>
  <c r="K22" i="4"/>
  <c r="G22" i="9"/>
  <c r="G23" i="4"/>
  <c r="K23" i="4"/>
  <c r="G24" i="4"/>
  <c r="K24" i="4"/>
  <c r="G25" i="4"/>
  <c r="K25" i="4"/>
  <c r="G21" i="9"/>
  <c r="G26" i="4"/>
  <c r="K26" i="4"/>
  <c r="G39" i="9"/>
  <c r="G27" i="4"/>
  <c r="K27" i="4"/>
  <c r="G28" i="4"/>
  <c r="K28" i="4"/>
  <c r="G29" i="4"/>
  <c r="K29" i="4"/>
  <c r="G40" i="9"/>
  <c r="G30" i="4"/>
  <c r="K30" i="4"/>
  <c r="G30" i="9"/>
  <c r="G31" i="4"/>
  <c r="K31" i="4"/>
  <c r="G32" i="4"/>
  <c r="K32" i="4"/>
  <c r="G33" i="4"/>
  <c r="K33" i="4"/>
  <c r="G16" i="9"/>
  <c r="G34" i="4"/>
  <c r="K34" i="4"/>
  <c r="G35" i="9"/>
  <c r="G35" i="4"/>
  <c r="K35" i="4"/>
  <c r="G36" i="4"/>
  <c r="K36" i="4"/>
  <c r="G37" i="4"/>
  <c r="K37" i="4"/>
  <c r="G26" i="9"/>
  <c r="G38" i="4"/>
  <c r="K38" i="4"/>
  <c r="G24" i="9"/>
  <c r="G39" i="4"/>
  <c r="K39" i="4"/>
  <c r="G40" i="4"/>
  <c r="K40" i="4"/>
  <c r="G41" i="4"/>
  <c r="K41" i="4"/>
  <c r="G44" i="9"/>
  <c r="G42" i="4"/>
  <c r="K42" i="4"/>
  <c r="G28" i="9"/>
  <c r="G43" i="4"/>
  <c r="K43" i="4"/>
  <c r="G44" i="4"/>
  <c r="K44" i="4"/>
  <c r="G45" i="4"/>
  <c r="K45" i="4"/>
  <c r="G48" i="9"/>
  <c r="G46" i="4"/>
  <c r="K46" i="4"/>
  <c r="G19" i="9"/>
  <c r="G47" i="4"/>
  <c r="K47" i="4"/>
  <c r="G48" i="4"/>
  <c r="K48" i="4"/>
  <c r="G49" i="4"/>
  <c r="K49" i="4"/>
  <c r="G46" i="9"/>
  <c r="G50" i="4"/>
  <c r="K50" i="4"/>
  <c r="G43" i="9"/>
  <c r="R15" i="4" l="1"/>
  <c r="L15" i="4"/>
  <c r="C17" i="2" s="1"/>
  <c r="I43" i="9"/>
  <c r="I28" i="9"/>
  <c r="I24" i="9"/>
  <c r="I35" i="9"/>
  <c r="I30" i="9"/>
  <c r="I22" i="9"/>
  <c r="I25" i="9"/>
  <c r="I19" i="9"/>
  <c r="I39" i="9"/>
  <c r="I46" i="9"/>
  <c r="I48" i="9"/>
  <c r="I44" i="9"/>
  <c r="I26" i="9"/>
  <c r="I16" i="9"/>
  <c r="I40" i="9"/>
  <c r="I21" i="9"/>
  <c r="I34" i="9"/>
  <c r="I27" i="9"/>
  <c r="E27" i="2"/>
  <c r="G23" i="9"/>
  <c r="I23" i="9" s="1"/>
  <c r="E49" i="2"/>
  <c r="G45" i="9"/>
  <c r="I45" i="9" s="1"/>
  <c r="E22" i="2"/>
  <c r="G18" i="9"/>
  <c r="I18" i="9" s="1"/>
  <c r="E19" i="2"/>
  <c r="G15" i="9"/>
  <c r="I15" i="9" s="1"/>
  <c r="E42" i="2"/>
  <c r="G38" i="9"/>
  <c r="I38" i="9" s="1"/>
  <c r="E37" i="2"/>
  <c r="G33" i="9"/>
  <c r="I33" i="9" s="1"/>
  <c r="E45" i="2"/>
  <c r="G41" i="9"/>
  <c r="I41" i="9" s="1"/>
  <c r="E46" i="2"/>
  <c r="G42" i="9"/>
  <c r="I42" i="9" s="1"/>
  <c r="E21" i="2"/>
  <c r="G17" i="9"/>
  <c r="I17" i="9" s="1"/>
  <c r="E41" i="2"/>
  <c r="G37" i="9"/>
  <c r="I37" i="9" s="1"/>
  <c r="E51" i="2"/>
  <c r="G47" i="9"/>
  <c r="I47" i="9" s="1"/>
  <c r="E35" i="2"/>
  <c r="G31" i="9"/>
  <c r="I31" i="9" s="1"/>
  <c r="E36" i="2"/>
  <c r="G32" i="9"/>
  <c r="I32" i="9" s="1"/>
  <c r="E40" i="2"/>
  <c r="G36" i="9"/>
  <c r="I36" i="9" s="1"/>
  <c r="E33" i="2"/>
  <c r="G29" i="9"/>
  <c r="I29" i="9" s="1"/>
  <c r="E24" i="2"/>
  <c r="G20" i="9"/>
  <c r="I20" i="9" s="1"/>
  <c r="E18" i="2"/>
  <c r="G14" i="9"/>
  <c r="I14" i="9" s="1"/>
  <c r="E47" i="2"/>
  <c r="E23" i="2"/>
  <c r="E32" i="2"/>
  <c r="E28" i="2"/>
  <c r="E39" i="2"/>
  <c r="E34" i="2"/>
  <c r="E43" i="2"/>
  <c r="E26" i="2"/>
  <c r="E29" i="2"/>
  <c r="E50" i="2"/>
  <c r="E52" i="2"/>
  <c r="E48" i="2"/>
  <c r="E30" i="2"/>
  <c r="E20" i="2"/>
  <c r="E44" i="2"/>
  <c r="E25" i="2"/>
  <c r="E38" i="2"/>
  <c r="E31" i="2"/>
  <c r="K15" i="8" l="1"/>
  <c r="B13" i="9"/>
  <c r="B96" i="9"/>
  <c r="B97" i="9"/>
  <c r="B98" i="9"/>
  <c r="B99" i="9"/>
  <c r="B100" i="9"/>
  <c r="B101" i="9"/>
  <c r="B102" i="9"/>
  <c r="B103" i="9"/>
  <c r="B104" i="9"/>
  <c r="B105" i="9"/>
  <c r="B106" i="9"/>
  <c r="B107" i="9"/>
  <c r="B108" i="9"/>
  <c r="B69" i="9"/>
  <c r="B70" i="9"/>
  <c r="B71" i="9"/>
  <c r="B72" i="9"/>
  <c r="B73" i="9"/>
  <c r="B74" i="9"/>
  <c r="B75" i="9"/>
  <c r="B76" i="9"/>
  <c r="B77" i="9"/>
  <c r="B78" i="9"/>
  <c r="B79" i="9"/>
  <c r="B80" i="9"/>
  <c r="B81" i="9"/>
  <c r="B82" i="9"/>
  <c r="B83" i="9"/>
  <c r="B84" i="9"/>
  <c r="B85" i="9"/>
  <c r="B86" i="9"/>
  <c r="B87" i="9"/>
  <c r="B88" i="9"/>
  <c r="B89" i="9"/>
  <c r="B90" i="9"/>
  <c r="B91" i="9"/>
  <c r="B92" i="9"/>
  <c r="B93" i="9"/>
  <c r="B94" i="9"/>
  <c r="B95" i="9"/>
  <c r="B25" i="9"/>
  <c r="B33" i="9"/>
  <c r="B36" i="9"/>
  <c r="B34" i="9"/>
  <c r="B22" i="9"/>
  <c r="B38" i="9"/>
  <c r="B32" i="9"/>
  <c r="B21" i="9"/>
  <c r="B39" i="9"/>
  <c r="B15" i="9"/>
  <c r="B31" i="9"/>
  <c r="B40" i="9"/>
  <c r="B30" i="9"/>
  <c r="B18" i="9"/>
  <c r="B47" i="9"/>
  <c r="B16" i="9"/>
  <c r="B35" i="9"/>
  <c r="B45" i="9"/>
  <c r="B37" i="9"/>
  <c r="B26" i="9"/>
  <c r="B24" i="9"/>
  <c r="B20" i="9"/>
  <c r="B17" i="9"/>
  <c r="B44" i="9"/>
  <c r="B28" i="9"/>
  <c r="B23" i="9"/>
  <c r="B42" i="9"/>
  <c r="B48" i="9"/>
  <c r="B19" i="9"/>
  <c r="B29" i="9"/>
  <c r="B41" i="9"/>
  <c r="B46" i="9"/>
  <c r="B43" i="9"/>
  <c r="B111" i="9"/>
  <c r="B110" i="9"/>
  <c r="B49" i="9"/>
  <c r="B112" i="9"/>
  <c r="B109" i="9"/>
  <c r="B50" i="9"/>
  <c r="B51" i="9"/>
  <c r="B52" i="9"/>
  <c r="B53" i="9"/>
  <c r="B54" i="9"/>
  <c r="B55" i="9"/>
  <c r="B56" i="9"/>
  <c r="B57" i="9"/>
  <c r="B58" i="9"/>
  <c r="B59" i="9"/>
  <c r="B60" i="9"/>
  <c r="B61" i="9"/>
  <c r="B62" i="9"/>
  <c r="B63" i="9"/>
  <c r="B64" i="9"/>
  <c r="B65" i="9"/>
  <c r="B66" i="9"/>
  <c r="B67" i="9"/>
  <c r="B68" i="9"/>
  <c r="B14" i="9"/>
  <c r="B27" i="9"/>
  <c r="H51" i="9" l="1"/>
  <c r="G57" i="8"/>
  <c r="G59" i="8"/>
  <c r="H53" i="9"/>
  <c r="G61" i="8"/>
  <c r="H55" i="9" s="1"/>
  <c r="G63" i="8"/>
  <c r="H57" i="9" s="1"/>
  <c r="G65" i="8"/>
  <c r="H59" i="9" s="1"/>
  <c r="H61" i="9"/>
  <c r="H63" i="9"/>
  <c r="H65" i="9"/>
  <c r="H67" i="9"/>
  <c r="H69" i="9"/>
  <c r="H71" i="9"/>
  <c r="H73" i="9"/>
  <c r="H75" i="9"/>
  <c r="H79" i="9"/>
  <c r="H83" i="9"/>
  <c r="H87" i="9"/>
  <c r="H89" i="9"/>
  <c r="H91" i="9"/>
  <c r="H93" i="9"/>
  <c r="H95" i="9"/>
  <c r="H99" i="9"/>
  <c r="H103" i="9"/>
  <c r="H107" i="9"/>
  <c r="G58" i="8"/>
  <c r="H52" i="9" s="1"/>
  <c r="G60" i="8"/>
  <c r="H54" i="9" s="1"/>
  <c r="G62" i="8"/>
  <c r="H56" i="9" s="1"/>
  <c r="G64" i="8"/>
  <c r="H58" i="9"/>
  <c r="H60" i="9"/>
  <c r="H62" i="9"/>
  <c r="H64" i="9"/>
  <c r="H66" i="9"/>
  <c r="H68" i="9"/>
  <c r="H72" i="9"/>
  <c r="H82" i="9"/>
  <c r="H86" i="9"/>
  <c r="H88" i="9"/>
  <c r="H90" i="9"/>
  <c r="H94" i="9"/>
  <c r="H98" i="9"/>
  <c r="H102" i="9"/>
  <c r="G64" i="4"/>
  <c r="K64" i="4"/>
  <c r="G60" i="4"/>
  <c r="G56" i="4"/>
  <c r="K56" i="4"/>
  <c r="G52" i="4"/>
  <c r="G63" i="4"/>
  <c r="K63" i="4"/>
  <c r="G59" i="4"/>
  <c r="G55" i="4"/>
  <c r="G62" i="4"/>
  <c r="K62" i="4"/>
  <c r="G58" i="4"/>
  <c r="K58" i="4"/>
  <c r="K54" i="4"/>
  <c r="G54" i="4"/>
  <c r="G65" i="4"/>
  <c r="K65" i="4"/>
  <c r="G61" i="4"/>
  <c r="G57" i="4"/>
  <c r="K57" i="4"/>
  <c r="G53" i="4"/>
  <c r="K51" i="4"/>
  <c r="G51" i="4"/>
  <c r="H13" i="9"/>
  <c r="G15" i="8"/>
  <c r="G15" i="4"/>
  <c r="K53" i="4" l="1"/>
  <c r="G49" i="9" s="1"/>
  <c r="I49" i="9" s="1"/>
  <c r="K61" i="4"/>
  <c r="G55" i="9" s="1"/>
  <c r="I55" i="9" s="1"/>
  <c r="G75" i="9"/>
  <c r="I75" i="9" s="1"/>
  <c r="G92" i="9"/>
  <c r="G108" i="9"/>
  <c r="G76" i="9"/>
  <c r="E66" i="2"/>
  <c r="G66" i="9"/>
  <c r="I66" i="9" s="1"/>
  <c r="H70" i="9"/>
  <c r="H105" i="9"/>
  <c r="H81" i="9"/>
  <c r="H97" i="9"/>
  <c r="G83" i="9"/>
  <c r="I83" i="9" s="1"/>
  <c r="G112" i="9"/>
  <c r="I112" i="9" s="1"/>
  <c r="G80" i="9"/>
  <c r="E53" i="2"/>
  <c r="G59" i="9"/>
  <c r="I59" i="9" s="1"/>
  <c r="E63" i="2"/>
  <c r="G91" i="9"/>
  <c r="I91" i="9" s="1"/>
  <c r="G63" i="9"/>
  <c r="I63" i="9" s="1"/>
  <c r="E67" i="2"/>
  <c r="G71" i="9"/>
  <c r="I71" i="9" s="1"/>
  <c r="G103" i="9"/>
  <c r="I103" i="9" s="1"/>
  <c r="G88" i="9"/>
  <c r="I88" i="9" s="1"/>
  <c r="G77" i="9"/>
  <c r="G70" i="9"/>
  <c r="G102" i="9"/>
  <c r="I102" i="9" s="1"/>
  <c r="K55" i="4"/>
  <c r="K59" i="4"/>
  <c r="K52" i="4"/>
  <c r="K60" i="4"/>
  <c r="G111" i="9"/>
  <c r="I111" i="9" s="1"/>
  <c r="G51" i="9"/>
  <c r="I51" i="9" s="1"/>
  <c r="E55" i="2"/>
  <c r="G79" i="9"/>
  <c r="I79" i="9" s="1"/>
  <c r="G52" i="9"/>
  <c r="I52" i="9" s="1"/>
  <c r="E56" i="2"/>
  <c r="G56" i="9"/>
  <c r="I56" i="9" s="1"/>
  <c r="E60" i="2"/>
  <c r="G60" i="9"/>
  <c r="I60" i="9" s="1"/>
  <c r="E64" i="2"/>
  <c r="G96" i="9"/>
  <c r="G104" i="9"/>
  <c r="E61" i="2"/>
  <c r="G57" i="9"/>
  <c r="I57" i="9" s="1"/>
  <c r="E65" i="2"/>
  <c r="G61" i="9"/>
  <c r="I61" i="9" s="1"/>
  <c r="G65" i="9"/>
  <c r="I65" i="9" s="1"/>
  <c r="G89" i="9"/>
  <c r="I89" i="9" s="1"/>
  <c r="G105" i="9"/>
  <c r="I105" i="9" s="1"/>
  <c r="E54" i="2"/>
  <c r="G50" i="9"/>
  <c r="I50" i="9" s="1"/>
  <c r="E62" i="2"/>
  <c r="G58" i="9"/>
  <c r="I58" i="9" s="1"/>
  <c r="H84" i="9"/>
  <c r="H101" i="9"/>
  <c r="H106" i="9"/>
  <c r="H104" i="9"/>
  <c r="H96" i="9"/>
  <c r="H92" i="9"/>
  <c r="H80" i="9"/>
  <c r="H76" i="9"/>
  <c r="H74" i="9"/>
  <c r="H85" i="9"/>
  <c r="H77" i="9"/>
  <c r="H108" i="9"/>
  <c r="H100" i="9"/>
  <c r="H78" i="9"/>
  <c r="K15" i="4"/>
  <c r="E59" i="2" l="1"/>
  <c r="G62" i="9"/>
  <c r="I62" i="9" s="1"/>
  <c r="I96" i="9"/>
  <c r="I80" i="9"/>
  <c r="I70" i="9"/>
  <c r="I92" i="9"/>
  <c r="I76" i="9"/>
  <c r="I77" i="9"/>
  <c r="I104" i="9"/>
  <c r="I108" i="9"/>
  <c r="G94" i="9"/>
  <c r="I94" i="9" s="1"/>
  <c r="G97" i="9"/>
  <c r="I97" i="9" s="1"/>
  <c r="G74" i="9"/>
  <c r="I74" i="9" s="1"/>
  <c r="G93" i="9"/>
  <c r="I93" i="9" s="1"/>
  <c r="G81" i="9"/>
  <c r="I81" i="9" s="1"/>
  <c r="G109" i="9"/>
  <c r="I109" i="9" s="1"/>
  <c r="G99" i="9"/>
  <c r="I99" i="9" s="1"/>
  <c r="G106" i="9"/>
  <c r="I106" i="9" s="1"/>
  <c r="G98" i="9"/>
  <c r="I98" i="9" s="1"/>
  <c r="G90" i="9"/>
  <c r="I90" i="9" s="1"/>
  <c r="G78" i="9"/>
  <c r="I78" i="9" s="1"/>
  <c r="G84" i="9"/>
  <c r="I84" i="9" s="1"/>
  <c r="E58" i="2"/>
  <c r="G54" i="9"/>
  <c r="I54" i="9" s="1"/>
  <c r="G101" i="9"/>
  <c r="I101" i="9" s="1"/>
  <c r="G85" i="9"/>
  <c r="I85" i="9" s="1"/>
  <c r="G73" i="9"/>
  <c r="I73" i="9" s="1"/>
  <c r="E57" i="2"/>
  <c r="G53" i="9"/>
  <c r="I53" i="9" s="1"/>
  <c r="G100" i="9"/>
  <c r="I100" i="9" s="1"/>
  <c r="G68" i="9"/>
  <c r="I68" i="9" s="1"/>
  <c r="G107" i="9"/>
  <c r="I107" i="9" s="1"/>
  <c r="G95" i="9"/>
  <c r="I95" i="9" s="1"/>
  <c r="G67" i="9"/>
  <c r="I67" i="9" s="1"/>
  <c r="G86" i="9"/>
  <c r="I86" i="9" s="1"/>
  <c r="G82" i="9"/>
  <c r="I82" i="9" s="1"/>
  <c r="G110" i="9"/>
  <c r="I110" i="9" s="1"/>
  <c r="G69" i="9"/>
  <c r="I69" i="9" s="1"/>
  <c r="G72" i="9"/>
  <c r="I72" i="9" s="1"/>
  <c r="G64" i="9"/>
  <c r="I64" i="9" s="1"/>
  <c r="G87" i="9"/>
  <c r="I87" i="9" s="1"/>
  <c r="E17" i="2"/>
  <c r="G13" i="9"/>
  <c r="I13" i="9" s="1"/>
  <c r="F18" i="2" l="1"/>
  <c r="F53" i="2"/>
  <c r="F54" i="2"/>
  <c r="J50" i="9" s="1"/>
  <c r="J82" i="9"/>
  <c r="J110" i="9"/>
  <c r="F43" i="2"/>
  <c r="J39" i="9" s="1"/>
  <c r="J80" i="9"/>
  <c r="F17" i="2"/>
  <c r="J13" i="9" s="1"/>
  <c r="J78" i="9"/>
  <c r="F31" i="2"/>
  <c r="J27" i="9" s="1"/>
  <c r="F29" i="2"/>
  <c r="J25" i="9" s="1"/>
  <c r="F58" i="2"/>
  <c r="J54" i="9" s="1"/>
  <c r="F37" i="2"/>
  <c r="J33" i="9" s="1"/>
  <c r="F40" i="2"/>
  <c r="J36" i="9" s="1"/>
  <c r="J109" i="9"/>
  <c r="F57" i="2"/>
  <c r="J49" i="9"/>
  <c r="F56" i="2"/>
  <c r="F51" i="2"/>
  <c r="F60" i="2"/>
  <c r="F42" i="2"/>
  <c r="F36" i="2"/>
  <c r="F64" i="2"/>
  <c r="F25" i="2"/>
  <c r="F38" i="2"/>
  <c r="F59" i="2"/>
  <c r="F26" i="2"/>
  <c r="J14" i="9"/>
  <c r="J86" i="9" l="1"/>
  <c r="F19" i="2"/>
  <c r="J34" i="9"/>
  <c r="J60" i="9"/>
  <c r="F44" i="2"/>
  <c r="J38" i="9"/>
  <c r="F66" i="2"/>
  <c r="J56" i="9"/>
  <c r="F62" i="2"/>
  <c r="J52" i="9"/>
  <c r="J88" i="9"/>
  <c r="F35" i="2"/>
  <c r="J22" i="9"/>
  <c r="F65" i="2"/>
  <c r="J55" i="9"/>
  <c r="F22" i="2"/>
  <c r="J21" i="9"/>
  <c r="F34" i="2"/>
  <c r="J32" i="9"/>
  <c r="J84" i="9"/>
  <c r="F28" i="2"/>
  <c r="J47" i="9"/>
  <c r="F63" i="2"/>
  <c r="J53" i="9"/>
  <c r="J59" i="9" l="1"/>
  <c r="F46" i="2"/>
  <c r="J24" i="9"/>
  <c r="J90" i="9"/>
  <c r="F41" i="2"/>
  <c r="J30" i="9"/>
  <c r="F30" i="2"/>
  <c r="J18" i="9"/>
  <c r="J61" i="9"/>
  <c r="F39" i="2"/>
  <c r="J31" i="9"/>
  <c r="J94" i="9"/>
  <c r="J58" i="9"/>
  <c r="J62" i="9"/>
  <c r="F49" i="2"/>
  <c r="J40" i="9"/>
  <c r="J72" i="9"/>
  <c r="J66" i="9"/>
  <c r="F20" i="2"/>
  <c r="J15" i="9"/>
  <c r="J92" i="9"/>
  <c r="J104" i="9" l="1"/>
  <c r="J98" i="9"/>
  <c r="F24" i="2"/>
  <c r="J16" i="9"/>
  <c r="F48" i="2"/>
  <c r="J45" i="9"/>
  <c r="J74" i="9"/>
  <c r="J68" i="9"/>
  <c r="J64" i="9"/>
  <c r="J106" i="9"/>
  <c r="J100" i="9"/>
  <c r="F21" i="2"/>
  <c r="J35" i="9"/>
  <c r="J67" i="9"/>
  <c r="F27" i="2"/>
  <c r="J26" i="9"/>
  <c r="F32" i="2"/>
  <c r="J37" i="9"/>
  <c r="J96" i="9"/>
  <c r="F47" i="2"/>
  <c r="J43" i="9" s="1"/>
  <c r="J42" i="9"/>
  <c r="J65" i="9"/>
  <c r="J71" i="9" l="1"/>
  <c r="J108" i="9"/>
  <c r="J102" i="9"/>
  <c r="F45" i="2"/>
  <c r="J28" i="9"/>
  <c r="F50" i="2"/>
  <c r="J46" i="9" s="1"/>
  <c r="J23" i="9"/>
  <c r="J73" i="9"/>
  <c r="F23" i="2"/>
  <c r="J19" i="9" s="1"/>
  <c r="J17" i="9"/>
  <c r="J76" i="9"/>
  <c r="J70" i="9"/>
  <c r="F33" i="2"/>
  <c r="J29" i="9" s="1"/>
  <c r="J44" i="9"/>
  <c r="F52" i="2"/>
  <c r="J20" i="9"/>
  <c r="J77" i="9" l="1"/>
  <c r="J48" i="9"/>
  <c r="J79" i="9"/>
  <c r="J112" i="9"/>
  <c r="J41" i="9"/>
  <c r="J85" i="9" l="1"/>
  <c r="F55" i="2"/>
  <c r="J111" i="9"/>
  <c r="J83" i="9"/>
  <c r="J89" i="9" l="1"/>
  <c r="F61" i="2"/>
  <c r="J51" i="9"/>
  <c r="J91" i="9"/>
  <c r="J103" i="9" l="1"/>
  <c r="J97" i="9"/>
  <c r="F67" i="2"/>
  <c r="J57" i="9"/>
  <c r="J95" i="9"/>
  <c r="J107" i="9" l="1"/>
  <c r="J101" i="9"/>
  <c r="J63" i="9"/>
  <c r="J69" i="9" l="1"/>
  <c r="J75" i="9" l="1"/>
  <c r="J81" i="9" l="1"/>
  <c r="J87" i="9" l="1"/>
  <c r="J93" i="9" l="1"/>
  <c r="J105" i="9" l="1"/>
  <c r="J9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service-info</author>
  </authors>
  <commentList>
    <comment ref="C16" authorId="0" shapeId="0" xr:uid="{00000000-0006-0000-0300-000001000000}">
      <text>
        <r>
          <rPr>
            <b/>
            <i/>
            <sz val="14"/>
            <color indexed="10"/>
            <rFont val="Times New Roman"/>
            <family val="1"/>
          </rPr>
          <t xml:space="preserve">علامة الإمتحان الأول 
حساب أقرب علاماتين /2
</t>
        </r>
      </text>
    </comment>
    <comment ref="D16" authorId="0" shapeId="0" xr:uid="{00000000-0006-0000-0300-000002000000}">
      <text>
        <r>
          <rPr>
            <b/>
            <sz val="11"/>
            <color indexed="81"/>
            <rFont val="Times New Roman"/>
            <family val="1"/>
          </rPr>
          <t>علامة الإمتحان الثاني</t>
        </r>
      </text>
    </comment>
  </commentList>
</comments>
</file>

<file path=xl/sharedStrings.xml><?xml version="1.0" encoding="utf-8"?>
<sst xmlns="http://schemas.openxmlformats.org/spreadsheetml/2006/main" count="229" uniqueCount="99">
  <si>
    <t xml:space="preserve">إدخال علامات المسابقة </t>
  </si>
  <si>
    <t xml:space="preserve">التصحيح الأول </t>
  </si>
  <si>
    <t xml:space="preserve">التصحيح الثالث </t>
  </si>
  <si>
    <t>علامة الإمتحان 1</t>
  </si>
  <si>
    <t>علامة امتحان الثاني  1</t>
  </si>
  <si>
    <t xml:space="preserve">معدل المسابقة </t>
  </si>
  <si>
    <t xml:space="preserve">الترتيب </t>
  </si>
  <si>
    <t xml:space="preserve">قرار اللجنة </t>
  </si>
  <si>
    <t xml:space="preserve">الرمز السري للمترشح </t>
  </si>
  <si>
    <t xml:space="preserve">التصحيح الثاني </t>
  </si>
  <si>
    <t>الجمهورية الجزائرية الديموقراطية الشعبية</t>
  </si>
  <si>
    <t>وزارة التعليم العالي والبحث العلمي</t>
  </si>
  <si>
    <t>جامعة  عمــــــــــار ثليـجي  - الأغــــــــــــــــــــــــــــــــــــواط</t>
  </si>
  <si>
    <t xml:space="preserve">محضر مداولات  لمسابقة التكوين في الطور الثالث  دكتوراه </t>
  </si>
  <si>
    <t>المرجع: القرار رقم 547 المؤرخ في 02-06-2016 ( وزارة التعليم العالي و البحث العلمي)</t>
  </si>
  <si>
    <t xml:space="preserve">كلية : العلوم الاقتصادية و التجارية و علوم التسيير </t>
  </si>
  <si>
    <t xml:space="preserve">التخصص : إدارة المؤسسات </t>
  </si>
  <si>
    <t xml:space="preserve">الامتحـــــــان الأول :إدارة الموارد البشرية </t>
  </si>
  <si>
    <t xml:space="preserve">الامتحـــــــان الثاني :الإدارة الإسترتيجية </t>
  </si>
  <si>
    <t xml:space="preserve">إمضاء لجنة التصحيح </t>
  </si>
  <si>
    <t xml:space="preserve">اللقب </t>
  </si>
  <si>
    <t xml:space="preserve">الإسم </t>
  </si>
  <si>
    <t xml:space="preserve">غائب(ة) </t>
  </si>
  <si>
    <t>ناحج(ة)</t>
  </si>
  <si>
    <t xml:space="preserve">رئيس اللجنة العلمية </t>
  </si>
  <si>
    <t xml:space="preserve">رئيس المجلس العلمي </t>
  </si>
  <si>
    <t xml:space="preserve">العميد </t>
  </si>
  <si>
    <t xml:space="preserve">القائمة الإسمية للمترشحين للمسابقة </t>
  </si>
  <si>
    <t xml:space="preserve">النتائج النهائية التصحيح الأول </t>
  </si>
  <si>
    <t>الطالب 1</t>
  </si>
  <si>
    <t>الطالب 2</t>
  </si>
  <si>
    <t>الطالب 3</t>
  </si>
  <si>
    <t xml:space="preserve">تالايخ الازدياد </t>
  </si>
  <si>
    <t xml:space="preserve">أعضاء لجنة التكوين </t>
  </si>
  <si>
    <t xml:space="preserve">إمضاء مسؤول أمانة المسابقة </t>
  </si>
  <si>
    <t xml:space="preserve">ملاحظة </t>
  </si>
  <si>
    <t xml:space="preserve">محضر ترميز  المترشحين لـمسابقة التكوين في الطور الثالث  دكتوراه </t>
  </si>
  <si>
    <t>مسؤول مركز الامتحان</t>
  </si>
  <si>
    <t xml:space="preserve">الرمز السري  </t>
  </si>
  <si>
    <t xml:space="preserve">الرقم </t>
  </si>
  <si>
    <t xml:space="preserve">الرمز السري </t>
  </si>
  <si>
    <t>الرقم</t>
  </si>
  <si>
    <t>منقطع</t>
  </si>
  <si>
    <t>/</t>
  </si>
  <si>
    <t xml:space="preserve">ناحج(ة) </t>
  </si>
  <si>
    <t>راسب(ة)</t>
  </si>
  <si>
    <t xml:space="preserve">منقطع(ة) </t>
  </si>
  <si>
    <t>ق/اللجنة</t>
  </si>
  <si>
    <t xml:space="preserve">النتائج النهائية  للمسابقة مشفرة </t>
  </si>
  <si>
    <t>حالات التصحيح الثالث</t>
  </si>
  <si>
    <t>لا يوجد تصحيح ثالث</t>
  </si>
  <si>
    <t>وجود تصحيح ثالث</t>
  </si>
  <si>
    <t>3 1</t>
  </si>
  <si>
    <t>3 2</t>
  </si>
  <si>
    <t>معامل المقياس الأول</t>
  </si>
  <si>
    <t>معامل المقياس الثاني</t>
  </si>
  <si>
    <t xml:space="preserve">كلية : </t>
  </si>
  <si>
    <t>المرجع: القرار رقم 834 المؤرخ في 27-07-2017 ( وزارة التعليم العالي و البحث العلمي)</t>
  </si>
  <si>
    <t>التخصص :...................................</t>
  </si>
  <si>
    <t>الشفرة</t>
  </si>
  <si>
    <t xml:space="preserve">الاسم </t>
  </si>
  <si>
    <t>اللقب</t>
  </si>
  <si>
    <t>تاريخ الميلاد</t>
  </si>
  <si>
    <t>الجامعة الأصلية</t>
  </si>
  <si>
    <t>الاختبار الأول</t>
  </si>
  <si>
    <t>الاختبار الثاني</t>
  </si>
  <si>
    <t>المعدل العام للمسابقة</t>
  </si>
  <si>
    <t>عدد المترشحين المعنين بالمسابقة:</t>
  </si>
  <si>
    <t>عدد المترشحين الغائبين:</t>
  </si>
  <si>
    <t>عدد المترشحين الحلضرين:</t>
  </si>
  <si>
    <t>إمضاء المصححين</t>
  </si>
  <si>
    <t>1.</t>
  </si>
  <si>
    <t>2.</t>
  </si>
  <si>
    <t>3.</t>
  </si>
  <si>
    <t>4.</t>
  </si>
  <si>
    <t>5.</t>
  </si>
  <si>
    <t>6.</t>
  </si>
  <si>
    <t>7.</t>
  </si>
  <si>
    <t>إمضاء رئيس لجنة التكوين</t>
  </si>
  <si>
    <t>إمضاء رئيس الجنة العلمية</t>
  </si>
  <si>
    <t>إمضاء رئيس المجلس العلمي</t>
  </si>
  <si>
    <t>إمضاء عميد الكلية</t>
  </si>
  <si>
    <t>المادة 15 : يرتب المترشحون ترتيبا نهائيا على أساس الجدارة بناء على المعدل العام المحصل عليه في اختبارات المسابقة الكتابية. يرتب المترشحون في حالة التساوي على أساس المعدل العام المحصل عليه في مسار التكوين في الطور الأول. المرجع: القرار رقم 547 المؤرخ في 02-06-2016 ( وزارة التعليم العالي و البحث العلمي)</t>
  </si>
  <si>
    <t xml:space="preserve">الترتيب العام </t>
  </si>
  <si>
    <t>احتياط(ة)</t>
  </si>
  <si>
    <t xml:space="preserve">النتائج النهائية التصحيح الثاني  </t>
  </si>
  <si>
    <t xml:space="preserve">النتائج النهائية </t>
  </si>
  <si>
    <t xml:space="preserve">ملف فتح  الأقفال  و الترميز   لمسابقة التكوين في الطور الثالث  دكتوراه </t>
  </si>
  <si>
    <t xml:space="preserve">الشفرة المعتمدة   مركز  الإمتحان </t>
  </si>
  <si>
    <t xml:space="preserve">الشفرة المعتمدة   لجنة التشفير </t>
  </si>
  <si>
    <t>1 2</t>
  </si>
  <si>
    <t>Min</t>
  </si>
  <si>
    <t>1 3</t>
  </si>
  <si>
    <t>2 3</t>
  </si>
  <si>
    <t>1  2</t>
  </si>
  <si>
    <t xml:space="preserve">3 1 </t>
  </si>
  <si>
    <t>G201</t>
  </si>
  <si>
    <t>G202</t>
  </si>
  <si>
    <t>G203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</si>
</sst>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0" x14ac:knownFonts="1">
    <font>
      <sz val="11"/>
      <color theme="1"/>
      <name val="Calibri"/>
      <family val="2"/>
      <scheme val="minor"/>
    </font>
    <font>
      <b/>
      <sz val="11"/>
      <color theme="1"/>
      <name val="Calibri"/>
      <family val="2"/>
      <scheme val="minor"/>
    </font>
    <font>
      <b/>
      <sz val="14"/>
      <color theme="1"/>
      <name val="Calibri"/>
      <family val="2"/>
      <scheme val="minor"/>
    </font>
    <font>
      <b/>
      <sz val="11"/>
      <color indexed="81"/>
      <name val="Times New Roman"/>
      <family val="1"/>
    </font>
    <font>
      <sz val="10"/>
      <name val="Arial"/>
      <family val="2"/>
    </font>
    <font>
      <b/>
      <sz val="12"/>
      <color theme="1"/>
      <name val="Calibri"/>
      <family val="2"/>
      <scheme val="minor"/>
    </font>
    <font>
      <b/>
      <sz val="18"/>
      <color theme="1"/>
      <name val="Calibri"/>
      <family val="2"/>
      <scheme val="minor"/>
    </font>
    <font>
      <b/>
      <i/>
      <sz val="14"/>
      <color indexed="10"/>
      <name val="Times New Roman"/>
      <family val="1"/>
    </font>
    <font>
      <b/>
      <sz val="12"/>
      <color rgb="FFFF0000"/>
      <name val="Calibri"/>
      <family val="2"/>
      <scheme val="minor"/>
    </font>
    <font>
      <b/>
      <sz val="14"/>
      <color rgb="FFFF0000"/>
      <name val="Calibri"/>
      <family val="2"/>
      <scheme val="minor"/>
    </font>
    <font>
      <sz val="22"/>
      <color theme="1"/>
      <name val="Calibri"/>
      <family val="2"/>
      <scheme val="minor"/>
    </font>
    <font>
      <b/>
      <sz val="18"/>
      <color theme="1"/>
      <name val="Sakkal Majalla"/>
    </font>
    <font>
      <b/>
      <sz val="16"/>
      <color theme="1"/>
      <name val="Sakkal Majalla"/>
    </font>
    <font>
      <b/>
      <sz val="24"/>
      <color theme="1"/>
      <name val="Sakkal Majalla"/>
    </font>
    <font>
      <sz val="11"/>
      <color theme="1"/>
      <name val="Sakkal Majalla"/>
    </font>
    <font>
      <b/>
      <sz val="22"/>
      <color theme="0"/>
      <name val="Sakkal Majalla"/>
    </font>
    <font>
      <b/>
      <sz val="16"/>
      <color rgb="FFFF0000"/>
      <name val="Sakkal Majalla"/>
    </font>
    <font>
      <b/>
      <sz val="18"/>
      <color rgb="FFFF0000"/>
      <name val="Sakkal Majalla"/>
    </font>
    <font>
      <b/>
      <u/>
      <sz val="11"/>
      <color theme="1"/>
      <name val="Calibri"/>
      <family val="2"/>
      <scheme val="minor"/>
    </font>
    <font>
      <b/>
      <sz val="20"/>
      <color theme="1"/>
      <name val="Sakkal Majalla"/>
    </font>
    <font>
      <sz val="14"/>
      <color theme="1"/>
      <name val="Calibri"/>
      <family val="2"/>
      <scheme val="minor"/>
    </font>
    <font>
      <sz val="20"/>
      <color theme="1"/>
      <name val="Calibri"/>
      <family val="2"/>
      <scheme val="minor"/>
    </font>
    <font>
      <sz val="20"/>
      <color theme="1"/>
      <name val="Sakkal Majalla"/>
    </font>
    <font>
      <b/>
      <sz val="20"/>
      <color theme="0"/>
      <name val="Sakkal Majalla"/>
    </font>
    <font>
      <b/>
      <sz val="14"/>
      <color theme="1"/>
      <name val="Calibri"/>
      <family val="2"/>
      <scheme val="minor"/>
    </font>
    <font>
      <b/>
      <u/>
      <sz val="14"/>
      <color theme="1"/>
      <name val="Calibri"/>
      <family val="2"/>
      <scheme val="minor"/>
    </font>
    <font>
      <b/>
      <i/>
      <sz val="18"/>
      <color theme="1"/>
      <name val="Sakkal Majalla"/>
    </font>
    <font>
      <b/>
      <sz val="12"/>
      <color theme="0"/>
      <name val="Sakkal Majalla"/>
    </font>
    <font>
      <b/>
      <sz val="11"/>
      <color theme="1"/>
      <name val="Sakkal Majalla"/>
    </font>
    <font>
      <sz val="12"/>
      <color theme="1"/>
      <name val="Sakkal Majalla"/>
    </font>
    <font>
      <b/>
      <sz val="12"/>
      <color theme="1"/>
      <name val="Sakkal Majalla"/>
    </font>
    <font>
      <sz val="12"/>
      <color theme="1"/>
      <name val="Calibri"/>
      <family val="2"/>
      <scheme val="minor"/>
    </font>
    <font>
      <b/>
      <u/>
      <sz val="11"/>
      <color theme="1"/>
      <name val="Sakkal Majalla"/>
    </font>
    <font>
      <b/>
      <u/>
      <sz val="10"/>
      <color theme="1"/>
      <name val="Sakkal Majalla"/>
    </font>
    <font>
      <b/>
      <sz val="11"/>
      <color theme="0"/>
      <name val="Calibri"/>
      <family val="2"/>
      <scheme val="minor"/>
    </font>
    <font>
      <sz val="11"/>
      <color rgb="FFFF0000"/>
      <name val="Calibri"/>
      <family val="2"/>
      <scheme val="minor"/>
    </font>
    <font>
      <sz val="11"/>
      <color theme="0"/>
      <name val="Calibri"/>
      <family val="2"/>
      <scheme val="minor"/>
    </font>
    <font>
      <b/>
      <sz val="12"/>
      <color theme="0"/>
      <name val="Calibri"/>
      <family val="2"/>
      <scheme val="minor"/>
    </font>
    <font>
      <b/>
      <sz val="14"/>
      <color theme="0"/>
      <name val="Sakkal Majalla"/>
    </font>
    <font>
      <b/>
      <sz val="20"/>
      <color rgb="FFFF0000"/>
      <name val="Sakkal Majalla"/>
    </font>
  </fonts>
  <fills count="1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4" fillId="0" borderId="0"/>
  </cellStyleXfs>
  <cellXfs count="208">
    <xf numFmtId="0" fontId="0" fillId="0" borderId="0" xfId="0"/>
    <xf numFmtId="0" fontId="0" fillId="0" borderId="0" xfId="0" applyAlignment="1">
      <alignment horizontal="center" vertical="center"/>
    </xf>
    <xf numFmtId="2" fontId="2" fillId="0" borderId="1" xfId="0" applyNumberFormat="1" applyFont="1" applyBorder="1" applyAlignment="1">
      <alignment horizontal="center" vertical="center"/>
    </xf>
    <xf numFmtId="0" fontId="0" fillId="0" borderId="0" xfId="0" applyFill="1" applyBorder="1" applyAlignment="1">
      <alignment horizontal="center" vertical="center"/>
    </xf>
    <xf numFmtId="2" fontId="9" fillId="0" borderId="1" xfId="0" applyNumberFormat="1" applyFont="1" applyBorder="1" applyAlignment="1">
      <alignment horizontal="center" vertical="center"/>
    </xf>
    <xf numFmtId="0" fontId="1" fillId="0" borderId="14" xfId="0" applyFont="1" applyFill="1" applyBorder="1" applyAlignment="1">
      <alignment horizontal="center" vertical="center"/>
    </xf>
    <xf numFmtId="0" fontId="1" fillId="0" borderId="7" xfId="0" applyFont="1" applyFill="1" applyBorder="1" applyAlignment="1">
      <alignment horizontal="center" vertical="center"/>
    </xf>
    <xf numFmtId="0" fontId="2" fillId="7" borderId="1" xfId="0" applyFont="1" applyFill="1" applyBorder="1" applyAlignment="1">
      <alignment horizontal="center" vertical="center"/>
    </xf>
    <xf numFmtId="0" fontId="0" fillId="0" borderId="23" xfId="0" applyFill="1" applyBorder="1" applyAlignment="1">
      <alignment horizontal="center" vertical="center"/>
    </xf>
    <xf numFmtId="0" fontId="2" fillId="7" borderId="19" xfId="0" applyFont="1" applyFill="1" applyBorder="1" applyAlignment="1">
      <alignment horizontal="center" vertical="center"/>
    </xf>
    <xf numFmtId="2" fontId="2" fillId="0" borderId="19" xfId="0" applyNumberFormat="1" applyFont="1" applyBorder="1" applyAlignment="1">
      <alignment horizontal="center" vertical="center"/>
    </xf>
    <xf numFmtId="0" fontId="14" fillId="0" borderId="0" xfId="0" applyFont="1" applyAlignment="1">
      <alignment horizontal="center" vertical="center"/>
    </xf>
    <xf numFmtId="0" fontId="0" fillId="0" borderId="0" xfId="0" applyFill="1" applyAlignment="1">
      <alignment horizontal="center" vertical="center"/>
    </xf>
    <xf numFmtId="0" fontId="5" fillId="0" borderId="0" xfId="0" applyFont="1" applyFill="1" applyBorder="1" applyAlignment="1">
      <alignment horizontal="center" vertical="center"/>
    </xf>
    <xf numFmtId="2" fontId="2" fillId="0" borderId="0" xfId="0" applyNumberFormat="1" applyFont="1" applyFill="1" applyBorder="1" applyAlignment="1">
      <alignment horizontal="center" vertical="center"/>
    </xf>
    <xf numFmtId="2" fontId="9" fillId="0" borderId="0" xfId="0" applyNumberFormat="1" applyFont="1" applyFill="1" applyBorder="1" applyAlignment="1">
      <alignment horizontal="center" vertical="center"/>
    </xf>
    <xf numFmtId="2" fontId="0" fillId="0" borderId="0" xfId="0" applyNumberFormat="1" applyFill="1" applyBorder="1" applyAlignment="1">
      <alignment horizontal="center" vertical="center"/>
    </xf>
    <xf numFmtId="0" fontId="8"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2" fillId="0" borderId="0" xfId="0" applyNumberFormat="1" applyFont="1" applyFill="1" applyBorder="1" applyAlignment="1">
      <alignment horizontal="center" vertical="center"/>
    </xf>
    <xf numFmtId="0" fontId="6" fillId="0" borderId="0" xfId="0" applyFont="1" applyFill="1" applyBorder="1" applyAlignment="1">
      <alignment vertical="center"/>
    </xf>
    <xf numFmtId="0" fontId="1" fillId="0" borderId="1" xfId="0" applyFont="1" applyFill="1" applyBorder="1" applyAlignment="1">
      <alignment horizontal="center" vertical="center"/>
    </xf>
    <xf numFmtId="0" fontId="11" fillId="0" borderId="0" xfId="0" applyFont="1" applyAlignment="1">
      <alignment vertical="center" readingOrder="2"/>
    </xf>
    <xf numFmtId="0" fontId="12" fillId="0" borderId="0" xfId="0" applyFont="1" applyAlignment="1">
      <alignment vertical="center" readingOrder="2"/>
    </xf>
    <xf numFmtId="0" fontId="16" fillId="0" borderId="0" xfId="0" applyFont="1" applyAlignment="1">
      <alignment vertical="center" readingOrder="2"/>
    </xf>
    <xf numFmtId="0" fontId="13" fillId="8" borderId="0" xfId="0" applyFont="1" applyFill="1" applyBorder="1" applyAlignment="1">
      <alignment vertical="center" readingOrder="2"/>
    </xf>
    <xf numFmtId="0" fontId="14" fillId="0" borderId="0" xfId="0" applyFont="1" applyAlignment="1">
      <alignment vertical="center"/>
    </xf>
    <xf numFmtId="0" fontId="15" fillId="10" borderId="0" xfId="0" applyFont="1" applyFill="1" applyAlignment="1">
      <alignment vertical="center"/>
    </xf>
    <xf numFmtId="0" fontId="11" fillId="0" borderId="0" xfId="0" applyFont="1" applyFill="1" applyAlignment="1">
      <alignment vertical="center" readingOrder="2"/>
    </xf>
    <xf numFmtId="0" fontId="0" fillId="0" borderId="0" xfId="0" applyFill="1"/>
    <xf numFmtId="0" fontId="12" fillId="0" borderId="0" xfId="0" applyFont="1" applyFill="1" applyAlignment="1">
      <alignment vertical="center" readingOrder="2"/>
    </xf>
    <xf numFmtId="0" fontId="16" fillId="0" borderId="0" xfId="0" applyFont="1" applyFill="1" applyAlignment="1">
      <alignment vertical="center" readingOrder="2"/>
    </xf>
    <xf numFmtId="0" fontId="13" fillId="0" borderId="0" xfId="0" applyFont="1" applyFill="1" applyBorder="1" applyAlignment="1">
      <alignment vertical="center" readingOrder="2"/>
    </xf>
    <xf numFmtId="0" fontId="14" fillId="0" borderId="0" xfId="0" applyFont="1" applyFill="1" applyAlignment="1">
      <alignment vertical="center"/>
    </xf>
    <xf numFmtId="0" fontId="17" fillId="0" borderId="0" xfId="0" applyFont="1" applyFill="1" applyAlignment="1">
      <alignment vertical="center" readingOrder="2"/>
    </xf>
    <xf numFmtId="0" fontId="15" fillId="0" borderId="0" xfId="0" applyFont="1" applyFill="1" applyAlignment="1">
      <alignment vertical="center"/>
    </xf>
    <xf numFmtId="0" fontId="14" fillId="0" borderId="0" xfId="0" applyFont="1" applyFill="1" applyAlignment="1">
      <alignment horizontal="center" vertical="center"/>
    </xf>
    <xf numFmtId="0" fontId="5" fillId="2" borderId="18" xfId="0" applyFont="1" applyFill="1" applyBorder="1" applyAlignment="1">
      <alignment horizontal="center" vertical="center"/>
    </xf>
    <xf numFmtId="0" fontId="8" fillId="2" borderId="18" xfId="0" applyFont="1" applyFill="1" applyBorder="1" applyAlignment="1">
      <alignment horizontal="center" vertical="center"/>
    </xf>
    <xf numFmtId="0" fontId="6" fillId="6" borderId="26" xfId="0" applyFont="1" applyFill="1" applyBorder="1" applyAlignment="1">
      <alignment vertical="center"/>
    </xf>
    <xf numFmtId="0" fontId="6" fillId="6" borderId="20" xfId="0" applyFont="1" applyFill="1" applyBorder="1" applyAlignment="1">
      <alignment vertical="center"/>
    </xf>
    <xf numFmtId="0" fontId="5" fillId="7" borderId="23" xfId="0" applyFont="1" applyFill="1" applyBorder="1" applyAlignment="1">
      <alignment vertical="center"/>
    </xf>
    <xf numFmtId="0" fontId="5" fillId="7" borderId="30" xfId="0" applyFont="1" applyFill="1" applyBorder="1" applyAlignment="1">
      <alignment vertical="center"/>
    </xf>
    <xf numFmtId="0" fontId="5" fillId="0" borderId="1" xfId="0" applyFont="1" applyFill="1" applyBorder="1" applyAlignment="1">
      <alignment horizontal="center" vertical="center"/>
    </xf>
    <xf numFmtId="0" fontId="11" fillId="9" borderId="0" xfId="0" applyFont="1" applyFill="1" applyAlignment="1">
      <alignment vertical="center" readingOrder="2"/>
    </xf>
    <xf numFmtId="0" fontId="5" fillId="8" borderId="18" xfId="0" applyFont="1" applyFill="1" applyBorder="1" applyAlignment="1">
      <alignment horizontal="center" vertical="center"/>
    </xf>
    <xf numFmtId="2" fontId="2" fillId="8" borderId="1" xfId="0" applyNumberFormat="1" applyFont="1" applyFill="1" applyBorder="1" applyAlignment="1">
      <alignment horizontal="center" vertical="center"/>
    </xf>
    <xf numFmtId="0" fontId="18" fillId="0" borderId="0" xfId="0" applyFont="1" applyFill="1" applyAlignment="1">
      <alignment horizontal="center" vertical="center"/>
    </xf>
    <xf numFmtId="0" fontId="18" fillId="0" borderId="0" xfId="0" applyFont="1" applyAlignment="1">
      <alignment horizontal="center" vertical="center"/>
    </xf>
    <xf numFmtId="0" fontId="0" fillId="0" borderId="10" xfId="0" applyFill="1" applyBorder="1" applyAlignment="1">
      <alignment horizontal="center" vertical="center"/>
    </xf>
    <xf numFmtId="0" fontId="1" fillId="0" borderId="8" xfId="0" applyFont="1" applyFill="1" applyBorder="1" applyAlignment="1">
      <alignment horizontal="center" vertical="center"/>
    </xf>
    <xf numFmtId="0" fontId="5" fillId="0" borderId="8" xfId="0" applyFont="1" applyFill="1" applyBorder="1" applyAlignment="1">
      <alignment horizontal="center" vertical="center"/>
    </xf>
    <xf numFmtId="0" fontId="5" fillId="7" borderId="24"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26" xfId="0" applyFont="1" applyFill="1" applyBorder="1" applyAlignment="1">
      <alignment horizontal="center" vertical="center"/>
    </xf>
    <xf numFmtId="2" fontId="9" fillId="0" borderId="29" xfId="0" applyNumberFormat="1" applyFont="1" applyFill="1" applyBorder="1" applyAlignment="1">
      <alignment horizontal="center" vertical="center"/>
    </xf>
    <xf numFmtId="0" fontId="0" fillId="0" borderId="0" xfId="0" applyFill="1" applyAlignment="1">
      <alignment horizontal="center" vertical="center"/>
    </xf>
    <xf numFmtId="0" fontId="14" fillId="0" borderId="0" xfId="0" applyFont="1" applyAlignment="1">
      <alignment horizontal="center" vertical="center"/>
    </xf>
    <xf numFmtId="0" fontId="20" fillId="0" borderId="0" xfId="0" applyFont="1"/>
    <xf numFmtId="0" fontId="21" fillId="0" borderId="0" xfId="0" applyFont="1"/>
    <xf numFmtId="0" fontId="22" fillId="0" borderId="0" xfId="0" applyFont="1" applyAlignment="1">
      <alignment horizontal="center" vertical="center"/>
    </xf>
    <xf numFmtId="0" fontId="20" fillId="0" borderId="0" xfId="0" applyFont="1" applyFill="1" applyAlignment="1">
      <alignment horizontal="center" vertical="center"/>
    </xf>
    <xf numFmtId="0" fontId="20" fillId="0" borderId="0" xfId="0" applyFont="1" applyAlignment="1">
      <alignment horizontal="center" vertical="center"/>
    </xf>
    <xf numFmtId="0" fontId="24" fillId="7" borderId="17" xfId="0" applyFont="1" applyFill="1" applyBorder="1" applyAlignment="1">
      <alignment vertical="center"/>
    </xf>
    <xf numFmtId="0" fontId="24" fillId="7" borderId="31" xfId="0" applyFont="1" applyFill="1" applyBorder="1" applyAlignment="1">
      <alignment vertical="center"/>
    </xf>
    <xf numFmtId="0" fontId="24" fillId="6" borderId="28" xfId="0" applyFont="1" applyFill="1" applyBorder="1" applyAlignment="1">
      <alignment horizontal="center" vertical="center"/>
    </xf>
    <xf numFmtId="0" fontId="24" fillId="6" borderId="6" xfId="0" applyFont="1" applyFill="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10" xfId="0" applyFont="1" applyFill="1" applyBorder="1" applyAlignment="1">
      <alignment horizontal="center" vertical="center"/>
    </xf>
    <xf numFmtId="0" fontId="24" fillId="7" borderId="11" xfId="0" applyFont="1" applyFill="1" applyBorder="1" applyAlignment="1">
      <alignment horizontal="center" vertical="center"/>
    </xf>
    <xf numFmtId="0" fontId="24" fillId="0" borderId="19" xfId="0" applyFont="1" applyFill="1" applyBorder="1" applyAlignment="1">
      <alignment horizontal="center" vertical="center"/>
    </xf>
    <xf numFmtId="2" fontId="24" fillId="5" borderId="19" xfId="0" applyNumberFormat="1" applyFont="1" applyFill="1" applyBorder="1" applyAlignment="1">
      <alignment horizontal="center" vertical="center"/>
    </xf>
    <xf numFmtId="2" fontId="24" fillId="4" borderId="19" xfId="0" applyNumberFormat="1" applyFont="1" applyFill="1" applyBorder="1" applyAlignment="1">
      <alignment horizontal="center" vertical="center"/>
    </xf>
    <xf numFmtId="2" fontId="24" fillId="6" borderId="19" xfId="0" applyNumberFormat="1" applyFont="1" applyFill="1" applyBorder="1" applyAlignment="1">
      <alignment horizontal="center" vertical="center"/>
    </xf>
    <xf numFmtId="0" fontId="24" fillId="3" borderId="19" xfId="0" applyNumberFormat="1" applyFont="1" applyFill="1" applyBorder="1" applyAlignment="1">
      <alignment horizontal="center" vertical="center"/>
    </xf>
    <xf numFmtId="0" fontId="24" fillId="3" borderId="19" xfId="0" applyFont="1" applyFill="1" applyBorder="1" applyAlignment="1">
      <alignment horizontal="center" vertical="center"/>
    </xf>
    <xf numFmtId="0" fontId="25" fillId="0" borderId="0" xfId="0" applyFont="1" applyAlignment="1">
      <alignment horizontal="center" vertical="center"/>
    </xf>
    <xf numFmtId="0" fontId="24" fillId="0" borderId="1" xfId="0" applyFont="1" applyFill="1" applyBorder="1" applyAlignment="1">
      <alignment horizontal="center" vertical="center"/>
    </xf>
    <xf numFmtId="0" fontId="24" fillId="0" borderId="0" xfId="0" applyFont="1" applyAlignment="1">
      <alignment horizontal="center" vertical="center"/>
    </xf>
    <xf numFmtId="0" fontId="25" fillId="0" borderId="0" xfId="0" applyFont="1" applyAlignment="1">
      <alignment horizontal="left" vertical="center"/>
    </xf>
    <xf numFmtId="0" fontId="20" fillId="0" borderId="0" xfId="0" applyFont="1" applyFill="1" applyBorder="1" applyAlignment="1">
      <alignment horizontal="center" vertical="center"/>
    </xf>
    <xf numFmtId="0" fontId="24" fillId="0" borderId="0" xfId="0" applyFont="1" applyFill="1" applyBorder="1" applyAlignment="1">
      <alignment horizontal="center" vertical="center"/>
    </xf>
    <xf numFmtId="2" fontId="24" fillId="0" borderId="0" xfId="0" applyNumberFormat="1" applyFont="1" applyFill="1" applyBorder="1" applyAlignment="1">
      <alignment horizontal="center" vertical="center"/>
    </xf>
    <xf numFmtId="0" fontId="11" fillId="11" borderId="0" xfId="0" applyFont="1" applyFill="1" applyAlignment="1">
      <alignment vertical="center" readingOrder="2"/>
    </xf>
    <xf numFmtId="0" fontId="12" fillId="11" borderId="0" xfId="0" applyFont="1" applyFill="1" applyAlignment="1">
      <alignment vertical="center" readingOrder="2"/>
    </xf>
    <xf numFmtId="0" fontId="14" fillId="11" borderId="0" xfId="0" applyFont="1" applyFill="1" applyAlignment="1">
      <alignment horizontal="center" vertical="center"/>
    </xf>
    <xf numFmtId="0" fontId="6" fillId="11" borderId="20" xfId="0" applyFont="1" applyFill="1" applyBorder="1" applyAlignment="1">
      <alignment vertical="center"/>
    </xf>
    <xf numFmtId="0" fontId="5" fillId="11" borderId="18" xfId="0" applyFont="1" applyFill="1" applyBorder="1" applyAlignment="1">
      <alignment horizontal="center" vertical="center"/>
    </xf>
    <xf numFmtId="16" fontId="5" fillId="11" borderId="18" xfId="0" applyNumberFormat="1" applyFont="1" applyFill="1" applyBorder="1" applyAlignment="1">
      <alignment horizontal="center" vertical="center"/>
    </xf>
    <xf numFmtId="2" fontId="2" fillId="11" borderId="1" xfId="0" applyNumberFormat="1" applyFont="1" applyFill="1" applyBorder="1" applyAlignment="1">
      <alignment horizontal="center" vertical="center"/>
    </xf>
    <xf numFmtId="2" fontId="9" fillId="11" borderId="1" xfId="0" applyNumberFormat="1" applyFont="1" applyFill="1" applyBorder="1" applyAlignment="1">
      <alignment horizontal="center" vertical="center"/>
    </xf>
    <xf numFmtId="0" fontId="0" fillId="11" borderId="0" xfId="0" applyFill="1" applyAlignment="1">
      <alignment horizontal="center" vertical="center"/>
    </xf>
    <xf numFmtId="0" fontId="24" fillId="6" borderId="5" xfId="0" applyFont="1" applyFill="1" applyBorder="1" applyAlignment="1">
      <alignment vertical="center"/>
    </xf>
    <xf numFmtId="0" fontId="24" fillId="6" borderId="6" xfId="0" applyFont="1" applyFill="1" applyBorder="1" applyAlignment="1">
      <alignment vertical="center"/>
    </xf>
    <xf numFmtId="0" fontId="23" fillId="0" borderId="0" xfId="0" applyFont="1" applyFill="1" applyAlignment="1">
      <alignment horizontal="center" vertical="center"/>
    </xf>
    <xf numFmtId="0" fontId="20" fillId="0" borderId="0" xfId="0" applyFont="1" applyFill="1"/>
    <xf numFmtId="0" fontId="10" fillId="0" borderId="0" xfId="0" applyFont="1" applyFill="1" applyBorder="1" applyAlignment="1">
      <alignment horizontal="center" vertical="center"/>
    </xf>
    <xf numFmtId="0" fontId="12" fillId="0" borderId="0" xfId="0" applyFont="1" applyAlignment="1">
      <alignment horizontal="center" vertical="center" readingOrder="2"/>
    </xf>
    <xf numFmtId="0" fontId="11" fillId="0" borderId="0" xfId="0" applyFont="1" applyAlignment="1">
      <alignment horizontal="center" vertical="center" readingOrder="2"/>
    </xf>
    <xf numFmtId="0" fontId="14" fillId="0" borderId="0" xfId="0" applyFont="1" applyAlignment="1">
      <alignment horizontal="center" vertical="center"/>
    </xf>
    <xf numFmtId="0" fontId="0" fillId="0" borderId="0" xfId="0" applyFill="1" applyAlignment="1">
      <alignment horizontal="center" vertical="center"/>
    </xf>
    <xf numFmtId="0" fontId="27" fillId="12" borderId="28" xfId="0"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Fill="1" applyBorder="1" applyAlignment="1">
      <alignment horizontal="center" vertical="center"/>
    </xf>
    <xf numFmtId="14" fontId="30" fillId="0" borderId="1" xfId="0" applyNumberFormat="1" applyFont="1" applyFill="1" applyBorder="1" applyAlignment="1">
      <alignment horizontal="center" vertical="center"/>
    </xf>
    <xf numFmtId="164" fontId="29" fillId="0" borderId="1" xfId="0" applyNumberFormat="1" applyFont="1" applyBorder="1" applyAlignment="1">
      <alignment horizontal="center" vertical="center"/>
    </xf>
    <xf numFmtId="0" fontId="0" fillId="0" borderId="0" xfId="0" applyAlignment="1">
      <alignment horizontal="right"/>
    </xf>
    <xf numFmtId="0" fontId="14" fillId="0" borderId="0" xfId="0" applyFont="1" applyAlignment="1">
      <alignment horizontal="left"/>
    </xf>
    <xf numFmtId="0" fontId="14" fillId="0" borderId="0" xfId="0" applyFont="1"/>
    <xf numFmtId="0" fontId="31" fillId="0" borderId="1" xfId="0" applyFont="1" applyBorder="1"/>
    <xf numFmtId="0" fontId="29" fillId="0" borderId="0" xfId="0" applyFont="1" applyBorder="1" applyAlignment="1">
      <alignment horizontal="center" vertical="center"/>
    </xf>
    <xf numFmtId="0" fontId="30" fillId="0" borderId="0" xfId="0" applyFont="1" applyFill="1" applyBorder="1" applyAlignment="1">
      <alignment horizontal="center" vertical="center"/>
    </xf>
    <xf numFmtId="14" fontId="30" fillId="0" borderId="0" xfId="0" applyNumberFormat="1" applyFont="1" applyFill="1" applyBorder="1" applyAlignment="1">
      <alignment horizontal="center" vertical="center"/>
    </xf>
    <xf numFmtId="164" fontId="29" fillId="0" borderId="0" xfId="0" applyNumberFormat="1" applyFont="1" applyBorder="1" applyAlignment="1">
      <alignment horizontal="center" vertical="center"/>
    </xf>
    <xf numFmtId="0" fontId="31" fillId="0" borderId="0" xfId="0" applyFont="1" applyBorder="1"/>
    <xf numFmtId="0" fontId="14" fillId="0" borderId="0" xfId="0" applyNumberFormat="1" applyFont="1" applyAlignment="1">
      <alignment horizontal="center" vertical="center"/>
    </xf>
    <xf numFmtId="0" fontId="29" fillId="0" borderId="0" xfId="0" applyNumberFormat="1" applyFont="1" applyBorder="1" applyAlignment="1">
      <alignment horizontal="center" vertical="center"/>
    </xf>
    <xf numFmtId="0" fontId="0" fillId="0" borderId="0" xfId="0" applyNumberFormat="1"/>
    <xf numFmtId="0" fontId="29" fillId="0" borderId="19" xfId="0" applyFont="1" applyBorder="1" applyAlignment="1">
      <alignment horizontal="center" vertical="center"/>
    </xf>
    <xf numFmtId="0" fontId="30" fillId="0" borderId="19" xfId="0" applyFont="1" applyFill="1" applyBorder="1" applyAlignment="1">
      <alignment horizontal="center" vertical="center"/>
    </xf>
    <xf numFmtId="14" fontId="30" fillId="0" borderId="19" xfId="0" applyNumberFormat="1" applyFont="1" applyFill="1" applyBorder="1" applyAlignment="1">
      <alignment horizontal="center" vertical="center"/>
    </xf>
    <xf numFmtId="164" fontId="29" fillId="0" borderId="19" xfId="0" applyNumberFormat="1" applyFont="1" applyBorder="1" applyAlignment="1">
      <alignment horizontal="center" vertical="center"/>
    </xf>
    <xf numFmtId="0" fontId="29" fillId="0" borderId="19" xfId="0" applyNumberFormat="1" applyFont="1" applyBorder="1" applyAlignment="1">
      <alignment horizontal="center" vertical="center"/>
    </xf>
    <xf numFmtId="0" fontId="31" fillId="0" borderId="19" xfId="0" applyFont="1" applyBorder="1"/>
    <xf numFmtId="0" fontId="27" fillId="12" borderId="28" xfId="0" applyNumberFormat="1" applyFont="1" applyFill="1" applyBorder="1" applyAlignment="1">
      <alignment horizontal="center" vertical="center"/>
    </xf>
    <xf numFmtId="0" fontId="24" fillId="5" borderId="13" xfId="0" applyFont="1" applyFill="1" applyBorder="1" applyAlignment="1">
      <alignment horizontal="center" vertical="center"/>
    </xf>
    <xf numFmtId="0" fontId="24" fillId="4" borderId="11" xfId="0" applyFont="1" applyFill="1" applyBorder="1" applyAlignment="1">
      <alignment horizontal="center" vertical="center"/>
    </xf>
    <xf numFmtId="0" fontId="24" fillId="6" borderId="11" xfId="0" applyFont="1" applyFill="1" applyBorder="1" applyAlignment="1">
      <alignment horizontal="center" vertical="center"/>
    </xf>
    <xf numFmtId="0" fontId="24" fillId="3" borderId="11" xfId="0" applyFont="1" applyFill="1" applyBorder="1" applyAlignment="1">
      <alignment horizontal="center" vertical="center"/>
    </xf>
    <xf numFmtId="0" fontId="24" fillId="3" borderId="12" xfId="0" applyFont="1" applyFill="1" applyBorder="1" applyAlignment="1">
      <alignment horizontal="center" vertical="center"/>
    </xf>
    <xf numFmtId="0" fontId="14" fillId="0" borderId="0" xfId="0" applyFont="1" applyAlignment="1">
      <alignment horizontal="center" vertical="center"/>
    </xf>
    <xf numFmtId="2" fontId="35" fillId="0" borderId="1" xfId="0" applyNumberFormat="1" applyFont="1" applyBorder="1" applyAlignment="1">
      <alignment horizontal="center" vertical="center"/>
    </xf>
    <xf numFmtId="0" fontId="5" fillId="0" borderId="16" xfId="0" applyFont="1" applyFill="1" applyBorder="1" applyAlignment="1">
      <alignment horizontal="center" vertical="center"/>
    </xf>
    <xf numFmtId="0" fontId="5" fillId="0" borderId="26" xfId="0" applyFont="1" applyFill="1" applyBorder="1" applyAlignment="1">
      <alignment horizontal="center" vertical="center"/>
    </xf>
    <xf numFmtId="0" fontId="36" fillId="14" borderId="10" xfId="0" applyFont="1" applyFill="1" applyBorder="1" applyAlignment="1">
      <alignment horizontal="center" vertical="center"/>
    </xf>
    <xf numFmtId="0" fontId="34" fillId="14" borderId="11" xfId="0" applyFont="1" applyFill="1" applyBorder="1" applyAlignment="1">
      <alignment horizontal="center" vertical="center"/>
    </xf>
    <xf numFmtId="0" fontId="37" fillId="14" borderId="11" xfId="0" applyFont="1" applyFill="1" applyBorder="1" applyAlignment="1">
      <alignment horizontal="center" vertical="center"/>
    </xf>
    <xf numFmtId="0" fontId="27" fillId="14" borderId="28" xfId="0" applyFont="1" applyFill="1" applyBorder="1" applyAlignment="1">
      <alignment horizontal="center" vertical="center"/>
    </xf>
    <xf numFmtId="0" fontId="37" fillId="14" borderId="25" xfId="0" applyFont="1" applyFill="1" applyBorder="1" applyAlignment="1">
      <alignment horizontal="center" vertical="center"/>
    </xf>
    <xf numFmtId="0" fontId="1" fillId="0" borderId="19" xfId="0" applyFont="1" applyFill="1" applyBorder="1" applyAlignment="1">
      <alignment horizontal="center" vertical="center"/>
    </xf>
    <xf numFmtId="2" fontId="35" fillId="0" borderId="19" xfId="0" applyNumberFormat="1" applyFont="1" applyBorder="1" applyAlignment="1">
      <alignment horizontal="center" vertical="center"/>
    </xf>
    <xf numFmtId="2" fontId="2" fillId="11" borderId="19" xfId="0" applyNumberFormat="1" applyFont="1" applyFill="1" applyBorder="1" applyAlignment="1">
      <alignment horizontal="center" vertical="center"/>
    </xf>
    <xf numFmtId="2" fontId="9" fillId="11" borderId="19" xfId="0" applyNumberFormat="1" applyFont="1" applyFill="1" applyBorder="1" applyAlignment="1">
      <alignment horizontal="center" vertical="center"/>
    </xf>
    <xf numFmtId="2" fontId="2" fillId="8" borderId="19" xfId="0" applyNumberFormat="1" applyFont="1" applyFill="1" applyBorder="1" applyAlignment="1">
      <alignment horizontal="center" vertical="center"/>
    </xf>
    <xf numFmtId="0" fontId="6" fillId="6" borderId="16" xfId="0" applyFont="1" applyFill="1" applyBorder="1" applyAlignment="1">
      <alignment vertical="center"/>
    </xf>
    <xf numFmtId="0" fontId="6" fillId="6" borderId="34" xfId="0" applyFont="1" applyFill="1" applyBorder="1" applyAlignment="1">
      <alignment vertical="center"/>
    </xf>
    <xf numFmtId="0" fontId="6" fillId="11" borderId="34" xfId="0" applyFont="1" applyFill="1" applyBorder="1" applyAlignment="1">
      <alignment vertical="center"/>
    </xf>
    <xf numFmtId="0" fontId="6" fillId="6" borderId="35" xfId="0" applyFont="1" applyFill="1" applyBorder="1" applyAlignment="1">
      <alignment vertical="center"/>
    </xf>
    <xf numFmtId="0" fontId="6" fillId="6" borderId="36" xfId="0" applyFont="1" applyFill="1" applyBorder="1" applyAlignment="1">
      <alignment vertical="center"/>
    </xf>
    <xf numFmtId="0" fontId="5" fillId="7" borderId="13" xfId="0" applyFont="1" applyFill="1" applyBorder="1" applyAlignment="1">
      <alignment horizontal="center" vertical="center"/>
    </xf>
    <xf numFmtId="0" fontId="5" fillId="2" borderId="9" xfId="0" applyFont="1" applyFill="1" applyBorder="1" applyAlignment="1">
      <alignment horizontal="center" vertical="center"/>
    </xf>
    <xf numFmtId="0" fontId="35" fillId="2" borderId="9" xfId="0" applyFont="1" applyFill="1" applyBorder="1" applyAlignment="1">
      <alignment horizontal="center" vertical="center"/>
    </xf>
    <xf numFmtId="0" fontId="5" fillId="11" borderId="9" xfId="0" applyFont="1" applyFill="1" applyBorder="1" applyAlignment="1">
      <alignment horizontal="center" vertical="center"/>
    </xf>
    <xf numFmtId="16" fontId="5" fillId="11" borderId="9" xfId="0" applyNumberFormat="1" applyFont="1" applyFill="1" applyBorder="1" applyAlignment="1">
      <alignment horizontal="center" vertical="center"/>
    </xf>
    <xf numFmtId="0" fontId="5" fillId="8" borderId="22" xfId="0" applyFont="1" applyFill="1" applyBorder="1" applyAlignment="1">
      <alignment horizontal="center" vertical="center"/>
    </xf>
    <xf numFmtId="0" fontId="0" fillId="0" borderId="0" xfId="0" applyFill="1" applyAlignment="1">
      <alignment horizontal="center" vertical="center"/>
    </xf>
    <xf numFmtId="0" fontId="38" fillId="12" borderId="28" xfId="0" applyFont="1" applyFill="1" applyBorder="1" applyAlignment="1">
      <alignment horizontal="center" vertical="center"/>
    </xf>
    <xf numFmtId="0" fontId="0" fillId="0" borderId="0" xfId="0" applyFill="1" applyAlignment="1">
      <alignment horizontal="center" vertical="center"/>
    </xf>
    <xf numFmtId="0" fontId="15" fillId="10" borderId="0" xfId="0" applyFont="1" applyFill="1" applyAlignment="1">
      <alignment horizontal="center" vertical="center"/>
    </xf>
    <xf numFmtId="0" fontId="0" fillId="0" borderId="0" xfId="0" applyFill="1" applyAlignment="1">
      <alignment horizontal="center" vertical="center"/>
    </xf>
    <xf numFmtId="2" fontId="0" fillId="0" borderId="0" xfId="0" applyNumberFormat="1" applyFill="1" applyAlignment="1">
      <alignment horizontal="center" vertical="center"/>
    </xf>
    <xf numFmtId="2" fontId="0" fillId="0" borderId="0" xfId="0" applyNumberFormat="1" applyAlignment="1">
      <alignment horizontal="center" vertical="center"/>
    </xf>
    <xf numFmtId="0" fontId="39" fillId="0" borderId="0" xfId="0" applyFont="1" applyFill="1" applyAlignment="1">
      <alignment horizontal="center" vertical="center"/>
    </xf>
    <xf numFmtId="0" fontId="10" fillId="0" borderId="0" xfId="0" applyFont="1" applyFill="1" applyBorder="1" applyAlignment="1">
      <alignment horizontal="center" vertical="center"/>
    </xf>
    <xf numFmtId="0" fontId="12" fillId="0" borderId="0" xfId="0" applyFont="1" applyAlignment="1">
      <alignment horizontal="center" vertical="center" readingOrder="2"/>
    </xf>
    <xf numFmtId="0" fontId="15" fillId="10" borderId="0" xfId="0" applyFont="1" applyFill="1" applyAlignment="1">
      <alignment horizontal="center" vertical="center"/>
    </xf>
    <xf numFmtId="0" fontId="11" fillId="0" borderId="0" xfId="0" applyFont="1" applyAlignment="1">
      <alignment horizontal="center" vertical="center" readingOrder="2"/>
    </xf>
    <xf numFmtId="0" fontId="14" fillId="0" borderId="0" xfId="0" applyFont="1" applyAlignment="1">
      <alignment horizontal="center" vertical="center"/>
    </xf>
    <xf numFmtId="0" fontId="13" fillId="8" borderId="0" xfId="0" applyFont="1" applyFill="1" applyBorder="1" applyAlignment="1">
      <alignment horizontal="center" vertical="center" readingOrder="2"/>
    </xf>
    <xf numFmtId="0" fontId="17" fillId="9" borderId="0" xfId="0" applyFont="1" applyFill="1" applyAlignment="1">
      <alignment horizontal="center" vertical="center" readingOrder="2"/>
    </xf>
    <xf numFmtId="0" fontId="10" fillId="0" borderId="0" xfId="0" applyFont="1" applyFill="1" applyAlignment="1">
      <alignment horizontal="center" vertical="center"/>
    </xf>
    <xf numFmtId="0" fontId="0" fillId="0" borderId="0" xfId="0" applyFill="1" applyAlignment="1">
      <alignment horizontal="center" vertical="center"/>
    </xf>
    <xf numFmtId="0" fontId="6" fillId="6" borderId="26" xfId="0" applyFont="1" applyFill="1" applyBorder="1" applyAlignment="1">
      <alignment horizontal="center" vertical="center"/>
    </xf>
    <xf numFmtId="0" fontId="6" fillId="6" borderId="20" xfId="0" applyFont="1" applyFill="1" applyBorder="1" applyAlignment="1">
      <alignment horizontal="center" vertical="center"/>
    </xf>
    <xf numFmtId="0" fontId="6" fillId="6" borderId="21"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5" xfId="0" applyFont="1" applyFill="1" applyBorder="1" applyAlignment="1">
      <alignment horizontal="center" vertical="center"/>
    </xf>
    <xf numFmtId="0" fontId="12" fillId="0" borderId="0" xfId="0" applyFont="1" applyFill="1" applyAlignment="1">
      <alignment horizontal="center" vertical="center" readingOrder="2"/>
    </xf>
    <xf numFmtId="0" fontId="13" fillId="0" borderId="0" xfId="0" applyFont="1" applyFill="1" applyBorder="1" applyAlignment="1">
      <alignment horizontal="center" vertical="center" readingOrder="2"/>
    </xf>
    <xf numFmtId="0" fontId="14" fillId="0" borderId="0" xfId="0" applyFont="1" applyFill="1" applyAlignment="1">
      <alignment horizontal="center" vertical="center"/>
    </xf>
    <xf numFmtId="0" fontId="15" fillId="0" borderId="0" xfId="0" applyFont="1" applyFill="1" applyAlignment="1">
      <alignment horizontal="center" vertical="center"/>
    </xf>
    <xf numFmtId="0" fontId="19" fillId="0" borderId="0" xfId="0" applyFont="1" applyAlignment="1">
      <alignment horizontal="center" vertical="center" readingOrder="2"/>
    </xf>
    <xf numFmtId="0" fontId="19" fillId="8" borderId="0" xfId="0" applyFont="1" applyFill="1" applyBorder="1" applyAlignment="1">
      <alignment horizontal="center" vertical="center" readingOrder="2"/>
    </xf>
    <xf numFmtId="0" fontId="25" fillId="0" borderId="0" xfId="0" applyFont="1" applyFill="1" applyAlignment="1">
      <alignment horizontal="center" vertical="center"/>
    </xf>
    <xf numFmtId="0" fontId="22" fillId="0" borderId="0" xfId="0" applyFont="1" applyAlignment="1">
      <alignment horizontal="center" vertical="center"/>
    </xf>
    <xf numFmtId="0" fontId="19" fillId="9" borderId="0" xfId="0" applyFont="1" applyFill="1" applyAlignment="1">
      <alignment horizontal="center" vertical="center" readingOrder="2"/>
    </xf>
    <xf numFmtId="0" fontId="23" fillId="10" borderId="0" xfId="0" applyFont="1" applyFill="1" applyAlignment="1">
      <alignment horizontal="center" vertical="center"/>
    </xf>
    <xf numFmtId="0" fontId="24" fillId="0" borderId="11" xfId="0" applyFont="1" applyBorder="1" applyAlignment="1">
      <alignment horizontal="center" vertical="center"/>
    </xf>
    <xf numFmtId="0" fontId="24" fillId="0" borderId="13" xfId="0" applyFont="1" applyBorder="1" applyAlignment="1">
      <alignment horizontal="center" vertical="center"/>
    </xf>
    <xf numFmtId="0" fontId="24" fillId="0" borderId="12" xfId="0" applyFont="1" applyBorder="1" applyAlignment="1">
      <alignment horizontal="center" vertical="center"/>
    </xf>
    <xf numFmtId="0" fontId="20" fillId="0" borderId="2" xfId="0" applyFont="1" applyFill="1" applyBorder="1" applyAlignment="1">
      <alignment horizontal="center" vertical="center"/>
    </xf>
    <xf numFmtId="0" fontId="20" fillId="0" borderId="15" xfId="0" applyFont="1" applyFill="1" applyBorder="1" applyAlignment="1">
      <alignment horizontal="center" vertical="center"/>
    </xf>
    <xf numFmtId="0" fontId="32" fillId="13" borderId="0" xfId="0" applyFont="1" applyFill="1" applyAlignment="1">
      <alignment horizontal="right" vertical="center"/>
    </xf>
    <xf numFmtId="0" fontId="0" fillId="8" borderId="0" xfId="0" applyFill="1" applyAlignment="1">
      <alignment horizontal="center"/>
    </xf>
    <xf numFmtId="0" fontId="11" fillId="9" borderId="0" xfId="0" applyFont="1" applyFill="1" applyAlignment="1">
      <alignment horizontal="center" vertical="center" readingOrder="2"/>
    </xf>
    <xf numFmtId="0" fontId="26" fillId="9" borderId="0" xfId="0" applyFont="1" applyFill="1" applyAlignment="1">
      <alignment horizontal="center" vertical="center" readingOrder="2"/>
    </xf>
    <xf numFmtId="0" fontId="33" fillId="13" borderId="0" xfId="0" applyFont="1" applyFill="1" applyAlignment="1">
      <alignment horizontal="right" vertical="center"/>
    </xf>
    <xf numFmtId="0" fontId="14" fillId="13" borderId="2"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14" fillId="13" borderId="27" xfId="0" applyFont="1" applyFill="1" applyBorder="1" applyAlignment="1">
      <alignment horizontal="center" vertical="center" wrapText="1"/>
    </xf>
    <xf numFmtId="0" fontId="14" fillId="13" borderId="32" xfId="0" applyFont="1" applyFill="1" applyBorder="1" applyAlignment="1">
      <alignment horizontal="center" vertical="center" wrapText="1"/>
    </xf>
    <xf numFmtId="0" fontId="14" fillId="13" borderId="33" xfId="0" applyFont="1" applyFill="1" applyBorder="1" applyAlignment="1">
      <alignment horizontal="center" vertical="center" wrapText="1"/>
    </xf>
    <xf numFmtId="0" fontId="28" fillId="0" borderId="0" xfId="0" applyFont="1" applyFill="1" applyAlignment="1">
      <alignment horizontal="center"/>
    </xf>
    <xf numFmtId="0" fontId="18" fillId="13" borderId="0" xfId="0" applyFont="1" applyFill="1" applyAlignment="1">
      <alignment horizontal="center"/>
    </xf>
    <xf numFmtId="0" fontId="28" fillId="13" borderId="0" xfId="0" applyFont="1" applyFill="1" applyAlignment="1">
      <alignment horizontal="center"/>
    </xf>
    <xf numFmtId="0" fontId="0" fillId="13" borderId="0" xfId="0" applyFill="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colors>
    <mruColors>
      <color rgb="FFFF66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685802</xdr:colOff>
      <xdr:row>0</xdr:row>
      <xdr:rowOff>0</xdr:rowOff>
    </xdr:from>
    <xdr:to>
      <xdr:col>6</xdr:col>
      <xdr:colOff>1152978</xdr:colOff>
      <xdr:row>4</xdr:row>
      <xdr:rowOff>28575</xdr:rowOff>
    </xdr:to>
    <xdr:pic>
      <xdr:nvPicPr>
        <xdr:cNvPr id="2" name="Image 1" descr="uat.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2014701197" y="0"/>
          <a:ext cx="1953076" cy="1171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1121539</xdr:colOff>
      <xdr:row>0</xdr:row>
      <xdr:rowOff>0</xdr:rowOff>
    </xdr:from>
    <xdr:to>
      <xdr:col>12</xdr:col>
      <xdr:colOff>981805</xdr:colOff>
      <xdr:row>4</xdr:row>
      <xdr:rowOff>179406</xdr:rowOff>
    </xdr:to>
    <xdr:pic>
      <xdr:nvPicPr>
        <xdr:cNvPr id="2" name="Image 1" descr="uat.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2074358065" y="0"/>
          <a:ext cx="2203830" cy="13389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1121539</xdr:colOff>
      <xdr:row>0</xdr:row>
      <xdr:rowOff>0</xdr:rowOff>
    </xdr:from>
    <xdr:to>
      <xdr:col>12</xdr:col>
      <xdr:colOff>981805</xdr:colOff>
      <xdr:row>4</xdr:row>
      <xdr:rowOff>179406</xdr:rowOff>
    </xdr:to>
    <xdr:pic>
      <xdr:nvPicPr>
        <xdr:cNvPr id="2" name="Image 1" descr="uat.jpg">
          <a:extLst>
            <a:ext uri="{FF2B5EF4-FFF2-40B4-BE49-F238E27FC236}">
              <a16:creationId xmlns:a16="http://schemas.microsoft.com/office/drawing/2014/main" id="{E5E5AB15-4DA8-4F4A-9728-1C3B768020DA}"/>
            </a:ext>
          </a:extLst>
        </xdr:cNvPr>
        <xdr:cNvPicPr>
          <a:picLocks noChangeAspect="1"/>
        </xdr:cNvPicPr>
      </xdr:nvPicPr>
      <xdr:blipFill>
        <a:blip xmlns:r="http://schemas.openxmlformats.org/officeDocument/2006/relationships" r:embed="rId1" cstate="print"/>
        <a:stretch>
          <a:fillRect/>
        </a:stretch>
      </xdr:blipFill>
      <xdr:spPr>
        <a:xfrm>
          <a:off x="12013843670" y="0"/>
          <a:ext cx="2203416" cy="13224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57150</xdr:rowOff>
    </xdr:from>
    <xdr:to>
      <xdr:col>2</xdr:col>
      <xdr:colOff>919789</xdr:colOff>
      <xdr:row>0</xdr:row>
      <xdr:rowOff>59047</xdr:rowOff>
    </xdr:to>
    <xdr:pic>
      <xdr:nvPicPr>
        <xdr:cNvPr id="4" name="Image 3" descr="uat.jp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tretch>
          <a:fillRect/>
        </a:stretch>
      </xdr:blipFill>
      <xdr:spPr>
        <a:xfrm>
          <a:off x="12482331525" y="57150"/>
          <a:ext cx="1866899" cy="1311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57150</xdr:rowOff>
    </xdr:from>
    <xdr:to>
      <xdr:col>2</xdr:col>
      <xdr:colOff>1047750</xdr:colOff>
      <xdr:row>4</xdr:row>
      <xdr:rowOff>73270</xdr:rowOff>
    </xdr:to>
    <xdr:pic>
      <xdr:nvPicPr>
        <xdr:cNvPr id="2" name="Image 1" descr="uat.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12482493450" y="57150"/>
          <a:ext cx="1866899" cy="13115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57150</xdr:rowOff>
    </xdr:from>
    <xdr:to>
      <xdr:col>2</xdr:col>
      <xdr:colOff>59778</xdr:colOff>
      <xdr:row>4</xdr:row>
      <xdr:rowOff>73270</xdr:rowOff>
    </xdr:to>
    <xdr:pic>
      <xdr:nvPicPr>
        <xdr:cNvPr id="2" name="Image 1" descr="uat.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12482169600" y="57150"/>
          <a:ext cx="2219324" cy="1311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
  <sheetViews>
    <sheetView rightToLeft="1" view="pageBreakPreview" topLeftCell="A11" zoomScaleNormal="130" zoomScaleSheetLayoutView="100" workbookViewId="0">
      <selection activeCell="C20" sqref="C20"/>
    </sheetView>
  </sheetViews>
  <sheetFormatPr defaultColWidth="11" defaultRowHeight="15" x14ac:dyDescent="0.25"/>
  <cols>
    <col min="1" max="1" width="5.28515625" style="12" customWidth="1"/>
    <col min="2" max="2" width="23" style="12" customWidth="1"/>
    <col min="3" max="3" width="22.7109375" style="12" customWidth="1"/>
    <col min="4" max="4" width="21" style="12" customWidth="1"/>
    <col min="5" max="5" width="21" style="101" customWidth="1"/>
    <col min="6" max="6" width="22.28515625" style="1" customWidth="1"/>
    <col min="7" max="7" width="18.28515625" style="12" customWidth="1"/>
    <col min="8" max="8" width="13" style="12" customWidth="1"/>
    <col min="9" max="9" width="13.140625" style="12" customWidth="1"/>
    <col min="10" max="10" width="12.28515625" style="12" customWidth="1"/>
    <col min="11" max="11" width="9.7109375" style="12" customWidth="1"/>
    <col min="12" max="12" width="26.140625" style="12" customWidth="1"/>
    <col min="13" max="13" width="10.5703125" style="12" customWidth="1"/>
    <col min="14" max="14" width="19.42578125" style="12" customWidth="1"/>
    <col min="15" max="15" width="29.42578125" style="12" customWidth="1"/>
    <col min="16" max="16" width="7.7109375" style="12" customWidth="1"/>
    <col min="17" max="17" width="28.85546875" style="12" customWidth="1"/>
    <col min="18" max="18" width="9" style="12" customWidth="1"/>
    <col min="19" max="19" width="16.85546875" style="12" customWidth="1"/>
    <col min="20" max="20" width="11" style="12" customWidth="1"/>
    <col min="21" max="21" width="13" style="12" customWidth="1"/>
    <col min="22" max="22" width="3.42578125" style="12" customWidth="1"/>
    <col min="23" max="23" width="11" style="12"/>
    <col min="24" max="24" width="2.42578125" style="12" customWidth="1"/>
    <col min="25" max="26" width="11" style="12"/>
    <col min="27" max="16384" width="11" style="1"/>
  </cols>
  <sheetData>
    <row r="1" spans="1:26" customFormat="1" ht="22.5" customHeight="1" x14ac:dyDescent="0.25">
      <c r="A1" s="167" t="s">
        <v>10</v>
      </c>
      <c r="B1" s="167"/>
      <c r="C1" s="167"/>
      <c r="D1" s="167"/>
      <c r="E1" s="99"/>
      <c r="F1" s="22"/>
      <c r="G1" s="28"/>
      <c r="H1" s="28"/>
      <c r="I1" s="28"/>
      <c r="J1" s="28"/>
      <c r="K1" s="28"/>
      <c r="L1" s="28"/>
      <c r="M1" s="28"/>
      <c r="N1" s="28"/>
      <c r="O1" s="28"/>
      <c r="P1" s="28"/>
      <c r="Q1" s="28"/>
      <c r="R1" s="28"/>
      <c r="S1" s="28"/>
      <c r="T1" s="28"/>
      <c r="U1" s="28"/>
      <c r="V1" s="29"/>
      <c r="W1" s="29"/>
      <c r="X1" s="29"/>
      <c r="Y1" s="29"/>
      <c r="Z1" s="29"/>
    </row>
    <row r="2" spans="1:26" customFormat="1" ht="22.5" customHeight="1" x14ac:dyDescent="0.25">
      <c r="A2" s="167" t="s">
        <v>11</v>
      </c>
      <c r="B2" s="167"/>
      <c r="C2" s="167"/>
      <c r="D2" s="167"/>
      <c r="E2" s="99"/>
      <c r="F2" s="22"/>
      <c r="G2" s="28"/>
      <c r="H2" s="28"/>
      <c r="I2" s="28"/>
      <c r="J2" s="28"/>
      <c r="K2" s="28"/>
      <c r="L2" s="28"/>
      <c r="M2" s="28"/>
      <c r="N2" s="28"/>
      <c r="O2" s="28"/>
      <c r="P2" s="28"/>
      <c r="Q2" s="28"/>
      <c r="R2" s="28"/>
      <c r="S2" s="28"/>
      <c r="T2" s="28"/>
      <c r="U2" s="28"/>
      <c r="V2" s="29"/>
      <c r="W2" s="29"/>
      <c r="X2" s="29"/>
      <c r="Y2" s="29"/>
      <c r="Z2" s="29"/>
    </row>
    <row r="3" spans="1:26" customFormat="1" ht="22.5" customHeight="1" x14ac:dyDescent="0.25">
      <c r="A3" s="165" t="s">
        <v>12</v>
      </c>
      <c r="B3" s="165"/>
      <c r="C3" s="165"/>
      <c r="D3" s="165"/>
      <c r="E3" s="98"/>
      <c r="F3" s="23"/>
      <c r="G3" s="30"/>
      <c r="H3" s="30"/>
      <c r="I3" s="30"/>
      <c r="J3" s="30"/>
      <c r="K3" s="30"/>
      <c r="L3" s="30"/>
      <c r="M3" s="30"/>
      <c r="N3" s="30"/>
      <c r="O3" s="30"/>
      <c r="P3" s="30"/>
      <c r="Q3" s="30"/>
      <c r="R3" s="30"/>
      <c r="S3" s="30"/>
      <c r="T3" s="30"/>
      <c r="U3" s="30"/>
      <c r="V3" s="29"/>
      <c r="W3" s="29"/>
      <c r="X3" s="29"/>
      <c r="Y3" s="29"/>
      <c r="Z3" s="29"/>
    </row>
    <row r="4" spans="1:26" customFormat="1" ht="22.5" customHeight="1" x14ac:dyDescent="0.25">
      <c r="A4" s="24" t="s">
        <v>15</v>
      </c>
      <c r="B4" s="24"/>
      <c r="C4" s="24"/>
      <c r="D4" s="24"/>
      <c r="E4" s="24"/>
      <c r="F4" s="24"/>
      <c r="G4" s="31"/>
      <c r="H4" s="31"/>
      <c r="I4" s="31"/>
      <c r="J4" s="31"/>
      <c r="K4" s="31"/>
      <c r="L4" s="31"/>
      <c r="M4" s="31"/>
      <c r="N4" s="31"/>
      <c r="O4" s="31"/>
      <c r="P4" s="31"/>
      <c r="Q4" s="31"/>
      <c r="R4" s="31"/>
      <c r="S4" s="31"/>
      <c r="T4" s="31"/>
      <c r="U4" s="31"/>
      <c r="V4" s="29"/>
      <c r="W4" s="29"/>
      <c r="X4" s="29"/>
      <c r="Y4" s="29"/>
      <c r="Z4" s="29"/>
    </row>
    <row r="5" spans="1:26" customFormat="1" ht="15" customHeight="1" x14ac:dyDescent="0.25">
      <c r="A5" s="165"/>
      <c r="B5" s="165"/>
      <c r="C5" s="165"/>
      <c r="D5" s="165"/>
      <c r="E5" s="165"/>
      <c r="F5" s="165"/>
      <c r="G5" s="165"/>
      <c r="H5" s="165"/>
      <c r="I5" s="165"/>
      <c r="J5" s="165"/>
      <c r="K5" s="29"/>
      <c r="L5" s="29"/>
      <c r="M5" s="29"/>
      <c r="N5" s="29"/>
      <c r="O5" s="29"/>
      <c r="P5" s="29"/>
      <c r="Q5" s="29"/>
      <c r="R5" s="29"/>
      <c r="S5" s="29"/>
      <c r="T5" s="29"/>
      <c r="U5" s="29"/>
      <c r="V5" s="29"/>
      <c r="W5" s="29"/>
      <c r="X5" s="29"/>
      <c r="Y5" s="29"/>
      <c r="Z5" s="29"/>
    </row>
    <row r="6" spans="1:26" customFormat="1" ht="22.5" customHeight="1" x14ac:dyDescent="0.25">
      <c r="A6" s="32"/>
      <c r="B6" s="169" t="s">
        <v>36</v>
      </c>
      <c r="C6" s="169"/>
      <c r="D6" s="169"/>
      <c r="E6" s="169"/>
      <c r="F6" s="169"/>
      <c r="G6" s="32"/>
      <c r="H6" s="32"/>
      <c r="I6" s="32"/>
      <c r="J6" s="32"/>
      <c r="K6" s="32"/>
      <c r="L6" s="32"/>
      <c r="M6" s="32"/>
      <c r="N6" s="32"/>
      <c r="O6" s="32"/>
      <c r="P6" s="32"/>
      <c r="Q6" s="32"/>
      <c r="R6" s="32"/>
      <c r="S6" s="32"/>
      <c r="T6" s="32"/>
      <c r="U6" s="32"/>
      <c r="V6" s="29"/>
      <c r="W6" s="29"/>
      <c r="X6" s="29"/>
      <c r="Y6" s="29"/>
      <c r="Z6" s="29"/>
    </row>
    <row r="7" spans="1:26" customFormat="1" ht="22.5" customHeight="1" x14ac:dyDescent="0.25">
      <c r="A7" s="168" t="s">
        <v>14</v>
      </c>
      <c r="B7" s="168"/>
      <c r="C7" s="168"/>
      <c r="D7" s="168"/>
      <c r="E7" s="168"/>
      <c r="F7" s="168"/>
      <c r="G7" s="33"/>
      <c r="H7" s="33"/>
      <c r="I7" s="33"/>
      <c r="J7" s="33"/>
      <c r="K7" s="33"/>
      <c r="L7" s="33"/>
      <c r="M7" s="33"/>
      <c r="N7" s="33"/>
      <c r="O7" s="33"/>
      <c r="P7" s="33"/>
      <c r="Q7" s="33"/>
      <c r="R7" s="33"/>
      <c r="S7" s="33"/>
      <c r="T7" s="33"/>
      <c r="U7" s="33"/>
      <c r="V7" s="29"/>
      <c r="W7" s="29"/>
      <c r="X7" s="29"/>
      <c r="Y7" s="29"/>
      <c r="Z7" s="29"/>
    </row>
    <row r="8" spans="1:26" customFormat="1" ht="22.5" customHeight="1" x14ac:dyDescent="0.25">
      <c r="A8" s="12"/>
      <c r="B8" s="170" t="s">
        <v>16</v>
      </c>
      <c r="C8" s="170"/>
      <c r="D8" s="170"/>
      <c r="E8" s="170"/>
      <c r="F8" s="170"/>
      <c r="G8" s="34"/>
      <c r="H8" s="34"/>
      <c r="I8" s="34"/>
      <c r="J8" s="34"/>
      <c r="K8" s="34"/>
      <c r="L8" s="34"/>
      <c r="M8" s="34"/>
      <c r="N8" s="34"/>
      <c r="O8" s="34"/>
      <c r="P8" s="34"/>
      <c r="Q8" s="34"/>
      <c r="R8" s="34"/>
      <c r="S8" s="34"/>
      <c r="T8" s="34"/>
      <c r="U8" s="34"/>
      <c r="V8" s="29"/>
      <c r="W8" s="29"/>
      <c r="X8" s="29"/>
      <c r="Y8" s="29"/>
      <c r="Z8" s="29"/>
    </row>
    <row r="9" spans="1:26" customFormat="1" ht="8.25" customHeight="1" x14ac:dyDescent="0.25">
      <c r="A9" s="11"/>
      <c r="B9" s="11"/>
      <c r="C9" s="11"/>
      <c r="D9" s="11"/>
      <c r="E9" s="100"/>
      <c r="F9" s="11"/>
      <c r="G9" s="36"/>
      <c r="H9" s="36"/>
      <c r="I9" s="36"/>
      <c r="J9" s="29"/>
      <c r="K9" s="29"/>
      <c r="L9" s="29"/>
      <c r="M9" s="29"/>
      <c r="N9" s="29"/>
      <c r="O9" s="29"/>
      <c r="P9" s="29"/>
      <c r="Q9" s="29"/>
      <c r="R9" s="29"/>
      <c r="S9" s="29"/>
      <c r="T9" s="29"/>
      <c r="U9" s="29"/>
      <c r="V9" s="29"/>
      <c r="W9" s="29"/>
      <c r="X9" s="29"/>
      <c r="Y9" s="29"/>
      <c r="Z9" s="29"/>
    </row>
    <row r="10" spans="1:26" customFormat="1" ht="22.5" customHeight="1" x14ac:dyDescent="0.25">
      <c r="A10" s="12"/>
      <c r="B10" s="166" t="s">
        <v>27</v>
      </c>
      <c r="C10" s="166"/>
      <c r="D10" s="166"/>
      <c r="E10" s="166"/>
      <c r="F10" s="166"/>
      <c r="G10" s="35"/>
      <c r="H10" s="35"/>
      <c r="I10" s="35"/>
      <c r="J10" s="35"/>
      <c r="K10" s="35"/>
      <c r="L10" s="35"/>
      <c r="M10" s="35"/>
      <c r="N10" s="35"/>
      <c r="O10" s="35"/>
      <c r="P10" s="35"/>
      <c r="Q10" s="35"/>
      <c r="R10" s="35"/>
      <c r="S10" s="35"/>
      <c r="T10" s="35"/>
      <c r="U10" s="35"/>
      <c r="V10" s="29"/>
      <c r="W10" s="29"/>
      <c r="X10" s="29"/>
      <c r="Y10" s="29"/>
      <c r="Z10" s="29"/>
    </row>
    <row r="11" spans="1:26" customFormat="1" ht="22.5" customHeight="1" x14ac:dyDescent="0.25">
      <c r="A11" s="160"/>
      <c r="B11" s="159"/>
      <c r="C11" s="159"/>
      <c r="D11" s="159"/>
      <c r="E11" s="159"/>
      <c r="F11" s="159"/>
      <c r="G11" s="35"/>
      <c r="H11" s="35"/>
      <c r="I11" s="35"/>
      <c r="J11" s="35"/>
      <c r="K11" s="35"/>
      <c r="L11" s="35"/>
      <c r="M11" s="35"/>
      <c r="N11" s="35"/>
      <c r="O11" s="35"/>
      <c r="P11" s="35"/>
      <c r="Q11" s="35"/>
      <c r="R11" s="35"/>
      <c r="S11" s="35"/>
      <c r="T11" s="35"/>
      <c r="U11" s="35"/>
      <c r="V11" s="29"/>
      <c r="W11" s="29"/>
      <c r="X11" s="29"/>
      <c r="Y11" s="29"/>
      <c r="Z11" s="29"/>
    </row>
    <row r="12" spans="1:26" customFormat="1" ht="22.5" customHeight="1" x14ac:dyDescent="0.25">
      <c r="A12" s="160"/>
      <c r="B12" s="159"/>
      <c r="C12" s="159"/>
      <c r="D12" s="159"/>
      <c r="E12" s="159"/>
      <c r="F12" s="159"/>
      <c r="G12" s="35"/>
      <c r="H12" s="35"/>
      <c r="I12" s="35"/>
      <c r="J12" s="35"/>
      <c r="K12" s="35"/>
      <c r="L12" s="35"/>
      <c r="M12" s="35"/>
      <c r="N12" s="35"/>
      <c r="O12" s="35"/>
      <c r="P12" s="35"/>
      <c r="Q12" s="35"/>
      <c r="R12" s="35"/>
      <c r="S12" s="35"/>
      <c r="T12" s="35"/>
      <c r="U12" s="35"/>
      <c r="V12" s="29"/>
      <c r="W12" s="29"/>
      <c r="X12" s="29"/>
      <c r="Y12" s="29"/>
      <c r="Z12" s="29"/>
    </row>
    <row r="13" spans="1:26" ht="24" customHeight="1" thickBot="1" x14ac:dyDescent="0.3">
      <c r="A13" s="164"/>
      <c r="B13" s="164"/>
      <c r="C13" s="164"/>
      <c r="D13" s="164"/>
      <c r="E13" s="97"/>
      <c r="G13" s="20"/>
      <c r="H13" s="20"/>
      <c r="I13" s="20"/>
      <c r="J13" s="20"/>
      <c r="K13" s="20"/>
      <c r="L13" s="20"/>
      <c r="M13" s="20"/>
      <c r="N13" s="20"/>
      <c r="O13" s="20"/>
      <c r="P13" s="20"/>
      <c r="Q13" s="20"/>
      <c r="R13" s="20"/>
      <c r="S13" s="20"/>
      <c r="T13" s="20"/>
      <c r="U13" s="20"/>
      <c r="V13" s="3"/>
      <c r="W13" s="3"/>
      <c r="X13" s="16"/>
      <c r="Y13" s="3"/>
    </row>
    <row r="14" spans="1:26" ht="27" customHeight="1" thickBot="1" x14ac:dyDescent="0.3">
      <c r="A14" s="135"/>
      <c r="B14" s="136" t="s">
        <v>20</v>
      </c>
      <c r="C14" s="137" t="s">
        <v>21</v>
      </c>
      <c r="D14" s="137" t="s">
        <v>32</v>
      </c>
      <c r="E14" s="138" t="s">
        <v>63</v>
      </c>
      <c r="F14" s="137" t="s">
        <v>8</v>
      </c>
      <c r="G14" s="139" t="s">
        <v>35</v>
      </c>
      <c r="H14" s="13"/>
      <c r="I14" s="13"/>
      <c r="J14" s="13"/>
      <c r="K14" s="13"/>
      <c r="L14" s="17"/>
      <c r="M14" s="13"/>
      <c r="N14" s="13"/>
      <c r="O14" s="13"/>
      <c r="P14" s="13"/>
      <c r="Q14" s="13"/>
      <c r="R14" s="13"/>
      <c r="S14" s="13"/>
      <c r="T14" s="13"/>
      <c r="U14" s="18"/>
      <c r="V14" s="3"/>
      <c r="W14" s="3"/>
      <c r="X14" s="3"/>
      <c r="Y14" s="3"/>
    </row>
    <row r="15" spans="1:26" ht="22.5" customHeight="1" x14ac:dyDescent="0.25">
      <c r="A15" s="6">
        <v>1</v>
      </c>
      <c r="B15" s="50" t="s">
        <v>29</v>
      </c>
      <c r="C15" s="50" t="s">
        <v>29</v>
      </c>
      <c r="D15" s="51" t="s">
        <v>32</v>
      </c>
      <c r="E15" s="133"/>
      <c r="F15" s="53" t="s">
        <v>96</v>
      </c>
      <c r="G15" s="55"/>
      <c r="H15" s="14"/>
      <c r="I15" s="14"/>
      <c r="J15" s="14"/>
      <c r="K15" s="14"/>
      <c r="L15" s="15"/>
      <c r="M15" s="14"/>
      <c r="N15" s="14"/>
      <c r="O15" s="14"/>
      <c r="P15" s="14"/>
      <c r="Q15" s="14"/>
      <c r="R15" s="14"/>
      <c r="S15" s="14"/>
      <c r="T15" s="19"/>
      <c r="U15" s="18"/>
      <c r="V15" s="3"/>
      <c r="W15" s="18"/>
      <c r="X15" s="3"/>
      <c r="Y15" s="3"/>
    </row>
    <row r="16" spans="1:26" ht="18.75" x14ac:dyDescent="0.25">
      <c r="A16" s="5">
        <v>2</v>
      </c>
      <c r="B16" s="21" t="s">
        <v>30</v>
      </c>
      <c r="C16" s="21" t="s">
        <v>30</v>
      </c>
      <c r="D16" s="43" t="s">
        <v>32</v>
      </c>
      <c r="E16" s="134"/>
      <c r="F16" s="54" t="s">
        <v>97</v>
      </c>
      <c r="G16" s="55"/>
      <c r="H16" s="14"/>
      <c r="I16" s="14"/>
      <c r="J16" s="14"/>
      <c r="K16" s="14"/>
      <c r="L16" s="15" t="s">
        <v>43</v>
      </c>
      <c r="M16" s="14"/>
      <c r="N16" s="14"/>
      <c r="O16" s="14"/>
      <c r="P16" s="14"/>
      <c r="Q16" s="14"/>
      <c r="R16" s="14"/>
      <c r="S16" s="14"/>
      <c r="T16" s="19"/>
      <c r="U16" s="18"/>
      <c r="V16" s="3"/>
      <c r="W16" s="3"/>
      <c r="X16" s="3"/>
      <c r="Y16" s="3"/>
    </row>
    <row r="17" spans="1:25" ht="18.75" x14ac:dyDescent="0.25">
      <c r="A17" s="5">
        <v>3</v>
      </c>
      <c r="B17" s="21" t="s">
        <v>31</v>
      </c>
      <c r="C17" s="21" t="s">
        <v>31</v>
      </c>
      <c r="D17" s="43" t="s">
        <v>32</v>
      </c>
      <c r="E17" s="134"/>
      <c r="F17" s="54" t="s">
        <v>98</v>
      </c>
      <c r="G17" s="55"/>
      <c r="H17" s="14"/>
      <c r="I17" s="14"/>
      <c r="J17" s="14"/>
      <c r="K17" s="14"/>
      <c r="L17" s="15" t="s">
        <v>22</v>
      </c>
      <c r="M17" s="14"/>
      <c r="N17" s="14"/>
      <c r="O17" s="14"/>
      <c r="P17" s="14"/>
      <c r="Q17" s="14"/>
      <c r="R17" s="14"/>
      <c r="S17" s="14"/>
      <c r="T17" s="19"/>
      <c r="U17" s="18"/>
      <c r="V17" s="3"/>
      <c r="W17" s="3"/>
      <c r="X17" s="3"/>
      <c r="Y17" s="3"/>
    </row>
    <row r="18" spans="1:25" ht="18.75" x14ac:dyDescent="0.25">
      <c r="A18" s="5"/>
      <c r="B18" s="21"/>
      <c r="C18" s="21"/>
      <c r="D18" s="43"/>
      <c r="E18" s="134"/>
      <c r="F18" s="54"/>
      <c r="G18" s="55"/>
      <c r="H18" s="14"/>
      <c r="I18" s="14"/>
      <c r="J18" s="14"/>
      <c r="K18" s="14"/>
      <c r="L18" s="15" t="s">
        <v>42</v>
      </c>
      <c r="M18" s="14"/>
      <c r="N18" s="14"/>
      <c r="O18" s="14"/>
      <c r="P18" s="14"/>
      <c r="Q18" s="14"/>
      <c r="R18" s="14"/>
      <c r="S18" s="14"/>
      <c r="T18" s="19"/>
      <c r="U18" s="18"/>
      <c r="V18" s="3"/>
      <c r="W18" s="3"/>
      <c r="X18" s="3"/>
      <c r="Y18" s="3"/>
    </row>
    <row r="19" spans="1:25" ht="18.75" x14ac:dyDescent="0.25">
      <c r="A19" s="5"/>
      <c r="B19" s="21"/>
      <c r="C19" s="21"/>
      <c r="D19" s="43"/>
      <c r="E19" s="134"/>
      <c r="F19" s="54"/>
      <c r="G19" s="55"/>
      <c r="H19" s="14"/>
      <c r="I19" s="14"/>
      <c r="J19" s="14"/>
      <c r="K19" s="14"/>
      <c r="L19" s="15"/>
      <c r="M19" s="14"/>
      <c r="N19" s="14"/>
      <c r="O19" s="14"/>
      <c r="P19" s="14"/>
      <c r="Q19" s="14"/>
      <c r="R19" s="14"/>
      <c r="S19" s="14"/>
      <c r="T19" s="19"/>
      <c r="U19" s="18"/>
      <c r="V19" s="3"/>
      <c r="W19" s="3"/>
      <c r="X19" s="3"/>
      <c r="Y19" s="3"/>
    </row>
    <row r="20" spans="1:25" ht="18.75" x14ac:dyDescent="0.25">
      <c r="A20" s="5"/>
      <c r="B20" s="21"/>
      <c r="C20" s="21"/>
      <c r="D20" s="43"/>
      <c r="E20" s="134"/>
      <c r="F20" s="54"/>
      <c r="G20" s="55"/>
      <c r="H20" s="14"/>
      <c r="I20" s="14"/>
      <c r="J20" s="14"/>
      <c r="K20" s="14"/>
      <c r="L20" s="15"/>
      <c r="M20" s="14"/>
      <c r="N20" s="14"/>
      <c r="O20" s="14"/>
      <c r="P20" s="14"/>
      <c r="Q20" s="14"/>
      <c r="R20" s="14"/>
      <c r="S20" s="14"/>
      <c r="T20" s="19"/>
      <c r="U20" s="18"/>
      <c r="V20" s="3"/>
      <c r="W20" s="3"/>
      <c r="X20" s="3"/>
      <c r="Y20" s="3"/>
    </row>
    <row r="21" spans="1:25" ht="18.75" x14ac:dyDescent="0.25">
      <c r="A21" s="5"/>
      <c r="B21" s="21"/>
      <c r="C21" s="21"/>
      <c r="D21" s="43"/>
      <c r="E21" s="134"/>
      <c r="F21" s="54"/>
      <c r="G21" s="55"/>
      <c r="H21" s="14"/>
      <c r="I21" s="14"/>
      <c r="J21" s="14"/>
      <c r="K21" s="14"/>
      <c r="L21" s="15"/>
      <c r="M21" s="14"/>
      <c r="N21" s="14"/>
      <c r="O21" s="14"/>
      <c r="P21" s="14"/>
      <c r="Q21" s="14"/>
      <c r="R21" s="14"/>
      <c r="S21" s="14"/>
      <c r="T21" s="19"/>
      <c r="U21" s="18"/>
      <c r="V21" s="3"/>
      <c r="W21" s="18"/>
      <c r="X21" s="3"/>
      <c r="Y21" s="3"/>
    </row>
    <row r="22" spans="1:25" ht="18.75" x14ac:dyDescent="0.25">
      <c r="A22" s="5"/>
      <c r="B22" s="21"/>
      <c r="C22" s="21"/>
      <c r="D22" s="43"/>
      <c r="E22" s="134"/>
      <c r="F22" s="54"/>
      <c r="G22" s="55"/>
      <c r="H22" s="14"/>
      <c r="I22" s="14"/>
      <c r="J22" s="14"/>
      <c r="K22" s="14"/>
      <c r="L22" s="15"/>
      <c r="M22" s="14"/>
      <c r="N22" s="14"/>
      <c r="O22" s="14"/>
      <c r="P22" s="14"/>
      <c r="Q22" s="14"/>
      <c r="R22" s="14"/>
      <c r="S22" s="14"/>
      <c r="T22" s="19"/>
      <c r="U22" s="18"/>
      <c r="V22" s="3"/>
      <c r="W22" s="3"/>
      <c r="X22" s="3"/>
      <c r="Y22" s="3"/>
    </row>
    <row r="23" spans="1:25" ht="18.75" x14ac:dyDescent="0.25">
      <c r="A23" s="5"/>
      <c r="B23" s="21"/>
      <c r="C23" s="21"/>
      <c r="D23" s="43"/>
      <c r="E23" s="134"/>
      <c r="F23" s="54"/>
      <c r="G23" s="55"/>
      <c r="H23" s="14"/>
      <c r="I23" s="14"/>
      <c r="J23" s="14"/>
      <c r="K23" s="14"/>
      <c r="L23" s="15"/>
      <c r="M23" s="14"/>
      <c r="N23" s="14"/>
      <c r="O23" s="14"/>
      <c r="P23" s="14"/>
      <c r="Q23" s="14"/>
      <c r="R23" s="14"/>
      <c r="S23" s="14"/>
      <c r="T23" s="19"/>
      <c r="U23" s="18"/>
      <c r="V23" s="3"/>
      <c r="W23" s="3"/>
      <c r="X23" s="3"/>
      <c r="Y23" s="3"/>
    </row>
    <row r="24" spans="1:25" ht="18.75" x14ac:dyDescent="0.25">
      <c r="A24" s="5"/>
      <c r="B24" s="21"/>
      <c r="C24" s="21"/>
      <c r="D24" s="43"/>
      <c r="E24" s="134"/>
      <c r="F24" s="54"/>
      <c r="G24" s="55"/>
      <c r="H24" s="14"/>
      <c r="I24" s="14"/>
      <c r="J24" s="14"/>
      <c r="K24" s="14"/>
      <c r="L24" s="15"/>
      <c r="M24" s="14"/>
      <c r="N24" s="14"/>
      <c r="O24" s="14"/>
      <c r="P24" s="14"/>
      <c r="Q24" s="14"/>
      <c r="R24" s="14"/>
      <c r="S24" s="14"/>
      <c r="T24" s="19"/>
      <c r="U24" s="18"/>
      <c r="V24" s="3"/>
      <c r="W24" s="3"/>
      <c r="X24" s="3"/>
      <c r="Y24" s="3"/>
    </row>
    <row r="25" spans="1:25" ht="18.75" x14ac:dyDescent="0.25">
      <c r="A25" s="5"/>
      <c r="B25" s="21"/>
      <c r="C25" s="21"/>
      <c r="D25" s="43"/>
      <c r="E25" s="134"/>
      <c r="F25" s="54"/>
      <c r="G25" s="55"/>
      <c r="H25" s="14"/>
      <c r="I25" s="14"/>
      <c r="J25" s="14"/>
      <c r="K25" s="14"/>
      <c r="L25" s="15"/>
      <c r="M25" s="14"/>
      <c r="N25" s="14"/>
      <c r="O25" s="14"/>
      <c r="P25" s="14"/>
      <c r="Q25" s="14"/>
      <c r="R25" s="14"/>
      <c r="S25" s="14"/>
      <c r="T25" s="19"/>
      <c r="U25" s="18"/>
      <c r="V25" s="3"/>
      <c r="W25" s="3"/>
      <c r="X25" s="3"/>
      <c r="Y25" s="3"/>
    </row>
    <row r="26" spans="1:25" ht="18.75" x14ac:dyDescent="0.25">
      <c r="A26" s="5"/>
      <c r="B26" s="21"/>
      <c r="C26" s="21"/>
      <c r="D26" s="43"/>
      <c r="E26" s="134"/>
      <c r="F26" s="54"/>
      <c r="G26" s="55"/>
      <c r="H26" s="14"/>
      <c r="I26" s="14"/>
      <c r="J26" s="14"/>
      <c r="K26" s="14"/>
      <c r="L26" s="15"/>
      <c r="M26" s="14"/>
      <c r="N26" s="14"/>
      <c r="O26" s="14"/>
      <c r="P26" s="14"/>
      <c r="Q26" s="14"/>
      <c r="R26" s="14"/>
      <c r="S26" s="14"/>
      <c r="T26" s="19"/>
      <c r="U26" s="18"/>
      <c r="V26" s="3"/>
      <c r="W26" s="3"/>
      <c r="X26" s="3"/>
      <c r="Y26" s="3"/>
    </row>
    <row r="27" spans="1:25" ht="18.75" x14ac:dyDescent="0.25">
      <c r="A27" s="5"/>
      <c r="B27" s="21"/>
      <c r="C27" s="21"/>
      <c r="D27" s="43"/>
      <c r="E27" s="134"/>
      <c r="F27" s="54"/>
      <c r="G27" s="55"/>
      <c r="H27" s="14"/>
      <c r="I27" s="14"/>
      <c r="J27" s="14"/>
      <c r="K27" s="14"/>
      <c r="L27" s="15"/>
      <c r="M27" s="14"/>
      <c r="N27" s="14"/>
      <c r="O27" s="14"/>
      <c r="P27" s="14"/>
      <c r="Q27" s="14"/>
      <c r="R27" s="14"/>
      <c r="S27" s="14"/>
      <c r="T27" s="14"/>
      <c r="U27" s="18"/>
      <c r="V27" s="3"/>
      <c r="W27" s="3"/>
      <c r="X27" s="3"/>
      <c r="Y27" s="3"/>
    </row>
    <row r="28" spans="1:25" ht="18.75" x14ac:dyDescent="0.25">
      <c r="A28" s="5"/>
      <c r="B28" s="21"/>
      <c r="C28" s="21"/>
      <c r="D28" s="43"/>
      <c r="E28" s="134"/>
      <c r="F28" s="54"/>
      <c r="G28" s="55"/>
      <c r="H28" s="14"/>
      <c r="I28" s="14"/>
      <c r="J28" s="14"/>
      <c r="K28" s="14"/>
      <c r="L28" s="15"/>
      <c r="M28" s="14"/>
      <c r="N28" s="14"/>
      <c r="O28" s="14"/>
      <c r="P28" s="14"/>
      <c r="Q28" s="14"/>
      <c r="R28" s="14"/>
      <c r="S28" s="14"/>
      <c r="T28" s="14"/>
      <c r="U28" s="18"/>
      <c r="V28" s="3"/>
      <c r="W28" s="3"/>
      <c r="X28" s="3"/>
      <c r="Y28" s="3"/>
    </row>
    <row r="29" spans="1:25" ht="18.75" x14ac:dyDescent="0.25">
      <c r="A29" s="5"/>
      <c r="B29" s="21"/>
      <c r="C29" s="21"/>
      <c r="D29" s="43"/>
      <c r="E29" s="134"/>
      <c r="F29" s="54"/>
      <c r="G29" s="55"/>
      <c r="H29" s="14"/>
      <c r="I29" s="14"/>
      <c r="J29" s="14"/>
      <c r="K29" s="14"/>
      <c r="L29" s="15"/>
      <c r="M29" s="14"/>
      <c r="N29" s="14"/>
      <c r="O29" s="14"/>
      <c r="P29" s="14"/>
      <c r="Q29" s="14"/>
      <c r="R29" s="14"/>
      <c r="S29" s="14"/>
      <c r="T29" s="14"/>
      <c r="U29" s="18"/>
      <c r="V29" s="3"/>
      <c r="W29" s="3"/>
      <c r="X29" s="3"/>
      <c r="Y29" s="3"/>
    </row>
    <row r="30" spans="1:25" ht="18.75" x14ac:dyDescent="0.25">
      <c r="A30" s="5"/>
      <c r="B30" s="21"/>
      <c r="C30" s="21"/>
      <c r="D30" s="43"/>
      <c r="E30" s="134"/>
      <c r="F30" s="54"/>
      <c r="G30" s="55"/>
      <c r="H30" s="14"/>
      <c r="I30" s="14"/>
      <c r="J30" s="14"/>
      <c r="K30" s="14"/>
      <c r="L30" s="15"/>
      <c r="M30" s="14"/>
      <c r="N30" s="14"/>
      <c r="O30" s="14"/>
      <c r="P30" s="14"/>
      <c r="Q30" s="14"/>
      <c r="R30" s="14"/>
      <c r="S30" s="14"/>
      <c r="T30" s="14"/>
      <c r="U30" s="18"/>
      <c r="V30" s="3"/>
      <c r="W30" s="3"/>
      <c r="X30" s="3"/>
      <c r="Y30" s="3"/>
    </row>
    <row r="31" spans="1:25" ht="18.75" x14ac:dyDescent="0.25">
      <c r="A31" s="5"/>
      <c r="B31" s="21"/>
      <c r="C31" s="21"/>
      <c r="D31" s="43"/>
      <c r="E31" s="134"/>
      <c r="F31" s="54"/>
      <c r="G31" s="55"/>
      <c r="H31" s="14"/>
      <c r="I31" s="14"/>
      <c r="J31" s="14"/>
      <c r="K31" s="14"/>
      <c r="L31" s="15"/>
      <c r="M31" s="14"/>
      <c r="N31" s="14"/>
      <c r="O31" s="14"/>
      <c r="P31" s="14"/>
      <c r="Q31" s="14"/>
      <c r="R31" s="14"/>
      <c r="S31" s="14"/>
      <c r="T31" s="14"/>
      <c r="U31" s="18"/>
      <c r="V31" s="3"/>
      <c r="W31" s="3"/>
      <c r="X31" s="3"/>
      <c r="Y31" s="3"/>
    </row>
    <row r="32" spans="1:25" ht="18.75" customHeight="1" x14ac:dyDescent="0.25">
      <c r="A32" s="5"/>
      <c r="B32" s="21"/>
      <c r="C32" s="21"/>
      <c r="D32" s="43"/>
      <c r="E32" s="134"/>
      <c r="F32" s="54"/>
      <c r="G32" s="55"/>
      <c r="H32" s="14"/>
      <c r="I32" s="14"/>
      <c r="J32" s="14"/>
      <c r="K32" s="14"/>
      <c r="L32" s="15"/>
      <c r="M32" s="14"/>
      <c r="N32" s="14"/>
      <c r="O32" s="14"/>
      <c r="P32" s="14"/>
      <c r="Q32" s="14"/>
      <c r="R32" s="14"/>
      <c r="S32" s="14"/>
      <c r="T32" s="14"/>
      <c r="U32" s="18"/>
      <c r="V32" s="3"/>
      <c r="W32" s="3"/>
      <c r="X32" s="3"/>
      <c r="Y32" s="3"/>
    </row>
    <row r="33" spans="1:25" ht="18.75" customHeight="1" x14ac:dyDescent="0.25">
      <c r="A33" s="5"/>
      <c r="B33" s="21"/>
      <c r="C33" s="21"/>
      <c r="D33" s="43"/>
      <c r="E33" s="134"/>
      <c r="F33" s="54"/>
      <c r="G33" s="55"/>
      <c r="H33" s="14"/>
      <c r="I33" s="14"/>
      <c r="J33" s="14"/>
      <c r="K33" s="14"/>
      <c r="L33" s="15"/>
      <c r="M33" s="14"/>
      <c r="N33" s="14"/>
      <c r="O33" s="14"/>
      <c r="P33" s="14"/>
      <c r="Q33" s="14"/>
      <c r="R33" s="14"/>
      <c r="S33" s="14"/>
      <c r="T33" s="14"/>
      <c r="U33" s="18"/>
      <c r="V33" s="3"/>
      <c r="W33" s="3"/>
      <c r="X33" s="3"/>
      <c r="Y33" s="3"/>
    </row>
    <row r="34" spans="1:25" ht="18.75" customHeight="1" x14ac:dyDescent="0.25">
      <c r="A34" s="5"/>
      <c r="B34" s="21"/>
      <c r="C34" s="21"/>
      <c r="D34" s="43"/>
      <c r="E34" s="134"/>
      <c r="F34" s="54"/>
      <c r="G34" s="55"/>
      <c r="H34" s="14"/>
      <c r="I34" s="14"/>
      <c r="J34" s="14"/>
      <c r="K34" s="14"/>
      <c r="L34" s="15"/>
      <c r="M34" s="14"/>
      <c r="N34" s="14"/>
      <c r="O34" s="14"/>
      <c r="P34" s="14"/>
      <c r="Q34" s="14"/>
      <c r="R34" s="14"/>
      <c r="S34" s="14"/>
      <c r="T34" s="14"/>
      <c r="U34" s="18"/>
      <c r="V34" s="3"/>
      <c r="W34" s="3"/>
      <c r="X34" s="3"/>
      <c r="Y34" s="3"/>
    </row>
    <row r="35" spans="1:25" ht="18.75" customHeight="1" x14ac:dyDescent="0.25">
      <c r="A35" s="5"/>
      <c r="B35" s="21"/>
      <c r="C35" s="21"/>
      <c r="D35" s="43"/>
      <c r="E35" s="134"/>
      <c r="F35" s="54"/>
      <c r="G35" s="55"/>
      <c r="H35" s="14"/>
      <c r="I35" s="14"/>
      <c r="J35" s="14"/>
      <c r="K35" s="14"/>
      <c r="L35" s="15"/>
      <c r="M35" s="14"/>
      <c r="N35" s="14"/>
      <c r="O35" s="14"/>
      <c r="P35" s="14"/>
      <c r="Q35" s="14"/>
      <c r="R35" s="14"/>
      <c r="S35" s="14"/>
      <c r="T35" s="14"/>
      <c r="U35" s="18"/>
      <c r="V35" s="3"/>
      <c r="W35" s="3"/>
      <c r="X35" s="3"/>
      <c r="Y35" s="3"/>
    </row>
    <row r="36" spans="1:25" ht="18.75" customHeight="1" x14ac:dyDescent="0.25">
      <c r="A36" s="5"/>
      <c r="B36" s="21"/>
      <c r="C36" s="21"/>
      <c r="D36" s="43"/>
      <c r="E36" s="134"/>
      <c r="F36" s="54"/>
      <c r="G36" s="55"/>
      <c r="H36" s="14"/>
      <c r="I36" s="14"/>
      <c r="J36" s="14"/>
      <c r="K36" s="14"/>
      <c r="L36" s="15"/>
      <c r="M36" s="14"/>
      <c r="N36" s="14"/>
      <c r="O36" s="14"/>
      <c r="P36" s="14"/>
      <c r="Q36" s="14"/>
      <c r="R36" s="14"/>
      <c r="S36" s="14"/>
      <c r="T36" s="14"/>
      <c r="U36" s="18"/>
      <c r="V36" s="3"/>
      <c r="W36" s="3"/>
      <c r="X36" s="3"/>
      <c r="Y36" s="3"/>
    </row>
    <row r="37" spans="1:25" ht="18.75" customHeight="1" x14ac:dyDescent="0.25">
      <c r="A37" s="5"/>
      <c r="B37" s="21"/>
      <c r="C37" s="21"/>
      <c r="D37" s="43"/>
      <c r="E37" s="134"/>
      <c r="F37" s="54"/>
      <c r="G37" s="55"/>
      <c r="H37" s="14"/>
      <c r="I37" s="14"/>
      <c r="J37" s="14"/>
      <c r="K37" s="14"/>
      <c r="L37" s="15"/>
      <c r="M37" s="14"/>
      <c r="N37" s="14"/>
      <c r="O37" s="14"/>
      <c r="P37" s="14"/>
      <c r="Q37" s="14"/>
      <c r="R37" s="14"/>
      <c r="S37" s="14"/>
      <c r="T37" s="14"/>
      <c r="U37" s="18"/>
      <c r="V37" s="3"/>
      <c r="W37" s="3"/>
      <c r="X37" s="3"/>
      <c r="Y37" s="3"/>
    </row>
    <row r="38" spans="1:25" ht="18.75" customHeight="1" x14ac:dyDescent="0.25">
      <c r="A38" s="5"/>
      <c r="B38" s="21"/>
      <c r="C38" s="21"/>
      <c r="D38" s="43"/>
      <c r="E38" s="134"/>
      <c r="F38" s="54"/>
      <c r="G38" s="55"/>
      <c r="H38" s="14"/>
      <c r="I38" s="14"/>
      <c r="J38" s="14"/>
      <c r="K38" s="14"/>
      <c r="L38" s="15"/>
      <c r="M38" s="14"/>
      <c r="N38" s="14"/>
      <c r="O38" s="14"/>
      <c r="P38" s="14"/>
      <c r="Q38" s="14"/>
      <c r="R38" s="14"/>
      <c r="S38" s="14"/>
      <c r="T38" s="14"/>
      <c r="U38" s="18"/>
      <c r="V38" s="3"/>
      <c r="W38" s="3"/>
      <c r="X38" s="3"/>
      <c r="Y38" s="3"/>
    </row>
    <row r="39" spans="1:25" ht="18.75" customHeight="1" x14ac:dyDescent="0.25">
      <c r="A39" s="5"/>
      <c r="B39" s="21"/>
      <c r="C39" s="21"/>
      <c r="D39" s="43"/>
      <c r="E39" s="134"/>
      <c r="F39" s="54"/>
      <c r="G39" s="55"/>
      <c r="H39" s="14"/>
      <c r="I39" s="14"/>
      <c r="J39" s="14"/>
      <c r="K39" s="14"/>
      <c r="L39" s="15"/>
      <c r="M39" s="14"/>
      <c r="N39" s="14"/>
      <c r="O39" s="14"/>
      <c r="P39" s="14"/>
      <c r="Q39" s="14"/>
      <c r="R39" s="14"/>
      <c r="S39" s="14"/>
      <c r="T39" s="14"/>
      <c r="U39" s="18"/>
      <c r="V39" s="3"/>
      <c r="W39" s="3"/>
      <c r="X39" s="3"/>
      <c r="Y39" s="3"/>
    </row>
    <row r="40" spans="1:25" ht="18.75" customHeight="1" x14ac:dyDescent="0.25">
      <c r="A40" s="5"/>
      <c r="B40" s="21"/>
      <c r="C40" s="21"/>
      <c r="D40" s="43"/>
      <c r="E40" s="134"/>
      <c r="F40" s="54"/>
      <c r="G40" s="55"/>
      <c r="H40" s="14"/>
      <c r="I40" s="14"/>
      <c r="J40" s="14"/>
      <c r="K40" s="14"/>
      <c r="L40" s="15"/>
      <c r="M40" s="14"/>
      <c r="N40" s="14"/>
      <c r="O40" s="14"/>
      <c r="P40" s="14"/>
      <c r="Q40" s="14"/>
      <c r="R40" s="14"/>
      <c r="S40" s="14"/>
      <c r="T40" s="14"/>
      <c r="U40" s="18"/>
      <c r="V40" s="3"/>
      <c r="W40" s="3"/>
      <c r="X40" s="3"/>
      <c r="Y40" s="3"/>
    </row>
    <row r="41" spans="1:25" ht="18.75" customHeight="1" x14ac:dyDescent="0.25">
      <c r="A41" s="5"/>
      <c r="B41" s="21"/>
      <c r="C41" s="21"/>
      <c r="D41" s="43"/>
      <c r="E41" s="134"/>
      <c r="F41" s="54"/>
      <c r="G41" s="55"/>
      <c r="H41" s="14"/>
      <c r="I41" s="14"/>
      <c r="J41" s="14"/>
      <c r="K41" s="14"/>
      <c r="L41" s="15"/>
      <c r="M41" s="14"/>
      <c r="N41" s="14"/>
      <c r="O41" s="14"/>
      <c r="P41" s="14"/>
      <c r="Q41" s="14"/>
      <c r="R41" s="14"/>
      <c r="S41" s="14"/>
      <c r="T41" s="14"/>
      <c r="U41" s="18"/>
      <c r="V41" s="3"/>
      <c r="W41" s="3"/>
      <c r="X41" s="3"/>
      <c r="Y41" s="3"/>
    </row>
    <row r="42" spans="1:25" ht="18.75" customHeight="1" x14ac:dyDescent="0.25">
      <c r="A42" s="5"/>
      <c r="B42" s="21"/>
      <c r="C42" s="21"/>
      <c r="D42" s="43"/>
      <c r="E42" s="134"/>
      <c r="F42" s="54"/>
      <c r="G42" s="55"/>
      <c r="H42" s="14"/>
      <c r="I42" s="14"/>
      <c r="J42" s="14"/>
      <c r="K42" s="14"/>
      <c r="L42" s="15"/>
      <c r="M42" s="14"/>
      <c r="N42" s="14"/>
      <c r="O42" s="14"/>
      <c r="P42" s="14"/>
      <c r="Q42" s="14"/>
      <c r="R42" s="14"/>
      <c r="S42" s="14"/>
      <c r="T42" s="14"/>
      <c r="U42" s="18"/>
      <c r="V42" s="3"/>
      <c r="W42" s="3"/>
      <c r="X42" s="3"/>
      <c r="Y42" s="3"/>
    </row>
    <row r="43" spans="1:25" ht="18.75" customHeight="1" x14ac:dyDescent="0.25">
      <c r="A43" s="5"/>
      <c r="B43" s="21"/>
      <c r="C43" s="21"/>
      <c r="D43" s="43"/>
      <c r="E43" s="134"/>
      <c r="F43" s="54"/>
      <c r="G43" s="55"/>
      <c r="H43" s="14"/>
      <c r="I43" s="14"/>
      <c r="J43" s="14"/>
      <c r="K43" s="14"/>
      <c r="L43" s="15"/>
      <c r="M43" s="14"/>
      <c r="N43" s="14"/>
      <c r="O43" s="14"/>
      <c r="P43" s="14"/>
      <c r="Q43" s="14"/>
      <c r="R43" s="14"/>
      <c r="S43" s="14"/>
      <c r="T43" s="14"/>
      <c r="U43" s="18"/>
      <c r="V43" s="3"/>
      <c r="W43" s="3"/>
      <c r="X43" s="3"/>
      <c r="Y43" s="3"/>
    </row>
    <row r="44" spans="1:25" ht="18.75" customHeight="1" x14ac:dyDescent="0.25">
      <c r="A44" s="5"/>
      <c r="B44" s="21"/>
      <c r="C44" s="21"/>
      <c r="D44" s="43"/>
      <c r="E44" s="134"/>
      <c r="F44" s="54"/>
      <c r="G44" s="55"/>
      <c r="H44" s="14"/>
      <c r="I44" s="14"/>
      <c r="J44" s="14"/>
      <c r="K44" s="14"/>
      <c r="L44" s="15"/>
      <c r="M44" s="14"/>
      <c r="N44" s="14"/>
      <c r="O44" s="14"/>
      <c r="P44" s="14"/>
      <c r="Q44" s="14"/>
      <c r="R44" s="14"/>
      <c r="S44" s="14"/>
      <c r="T44" s="14"/>
      <c r="U44" s="18"/>
      <c r="V44" s="3"/>
      <c r="W44" s="3"/>
      <c r="X44" s="3"/>
      <c r="Y44" s="3"/>
    </row>
    <row r="45" spans="1:25" ht="18.75" customHeight="1" x14ac:dyDescent="0.25">
      <c r="A45" s="5"/>
      <c r="B45" s="21"/>
      <c r="C45" s="21"/>
      <c r="D45" s="43"/>
      <c r="E45" s="134"/>
      <c r="F45" s="54"/>
      <c r="G45" s="55"/>
      <c r="H45" s="14"/>
      <c r="I45" s="14"/>
      <c r="J45" s="14"/>
      <c r="K45" s="14"/>
      <c r="L45" s="15"/>
      <c r="M45" s="14"/>
      <c r="N45" s="14"/>
      <c r="O45" s="14"/>
      <c r="P45" s="14"/>
      <c r="Q45" s="14"/>
      <c r="R45" s="14"/>
      <c r="S45" s="14"/>
      <c r="T45" s="14"/>
      <c r="U45" s="18"/>
      <c r="V45" s="3"/>
      <c r="W45" s="3"/>
      <c r="X45" s="3"/>
      <c r="Y45" s="3"/>
    </row>
    <row r="46" spans="1:25" ht="18.75" customHeight="1" x14ac:dyDescent="0.25">
      <c r="A46" s="5"/>
      <c r="B46" s="21"/>
      <c r="C46" s="21"/>
      <c r="D46" s="43"/>
      <c r="E46" s="134"/>
      <c r="F46" s="54"/>
      <c r="G46" s="55"/>
      <c r="H46" s="14"/>
      <c r="I46" s="14"/>
      <c r="J46" s="14"/>
      <c r="K46" s="14"/>
      <c r="L46" s="15"/>
      <c r="M46" s="14"/>
      <c r="N46" s="14"/>
      <c r="O46" s="14"/>
      <c r="P46" s="14"/>
      <c r="Q46" s="14"/>
      <c r="R46" s="14"/>
      <c r="S46" s="14"/>
      <c r="T46" s="14"/>
      <c r="U46" s="18"/>
      <c r="V46" s="3"/>
      <c r="W46" s="3"/>
      <c r="X46" s="3"/>
      <c r="Y46" s="3"/>
    </row>
    <row r="47" spans="1:25" s="12" customFormat="1" ht="18.75" customHeight="1" x14ac:dyDescent="0.25">
      <c r="A47" s="5"/>
      <c r="B47" s="21"/>
      <c r="C47" s="21"/>
      <c r="D47" s="43"/>
      <c r="E47" s="134"/>
      <c r="F47" s="54"/>
      <c r="G47" s="55"/>
      <c r="H47" s="14"/>
      <c r="I47" s="14"/>
      <c r="J47" s="14"/>
      <c r="K47" s="14"/>
      <c r="L47" s="15"/>
      <c r="M47" s="14"/>
      <c r="N47" s="14"/>
      <c r="O47" s="14"/>
      <c r="P47" s="14"/>
      <c r="Q47" s="14"/>
      <c r="R47" s="14"/>
      <c r="S47" s="14"/>
      <c r="T47" s="14"/>
      <c r="U47" s="18"/>
      <c r="V47" s="3"/>
      <c r="W47" s="3"/>
      <c r="X47" s="3"/>
      <c r="Y47" s="3"/>
    </row>
    <row r="48" spans="1:25" ht="18.75" customHeight="1" x14ac:dyDescent="0.25">
      <c r="A48" s="5"/>
      <c r="B48" s="21"/>
      <c r="C48" s="21"/>
      <c r="D48" s="43"/>
      <c r="E48" s="134"/>
      <c r="F48" s="54"/>
      <c r="G48" s="55"/>
      <c r="H48" s="14"/>
      <c r="I48" s="14"/>
      <c r="J48" s="14"/>
      <c r="K48" s="14"/>
      <c r="L48" s="15"/>
      <c r="M48" s="14"/>
      <c r="N48" s="14"/>
      <c r="O48" s="14"/>
      <c r="P48" s="14"/>
      <c r="Q48" s="14"/>
      <c r="R48" s="14"/>
      <c r="S48" s="14"/>
      <c r="T48" s="14"/>
      <c r="U48" s="18"/>
      <c r="V48" s="3"/>
      <c r="W48" s="3"/>
      <c r="X48" s="3"/>
      <c r="Y48" s="3"/>
    </row>
    <row r="49" spans="1:25" ht="18.75" customHeight="1" x14ac:dyDescent="0.25">
      <c r="A49" s="5"/>
      <c r="B49" s="21"/>
      <c r="C49" s="21"/>
      <c r="D49" s="43"/>
      <c r="E49" s="134"/>
      <c r="F49" s="54"/>
      <c r="G49" s="55"/>
      <c r="H49" s="14"/>
      <c r="I49" s="14"/>
      <c r="J49" s="14"/>
      <c r="K49" s="14"/>
      <c r="L49" s="15"/>
      <c r="M49" s="14"/>
      <c r="N49" s="14"/>
      <c r="O49" s="14"/>
      <c r="P49" s="14"/>
      <c r="Q49" s="14"/>
      <c r="R49" s="14"/>
      <c r="S49" s="14"/>
      <c r="T49" s="14"/>
      <c r="U49" s="18"/>
      <c r="V49" s="3"/>
      <c r="W49" s="3"/>
      <c r="X49" s="3"/>
      <c r="Y49" s="3"/>
    </row>
    <row r="50" spans="1:25" ht="18.75" customHeight="1" x14ac:dyDescent="0.25">
      <c r="A50" s="5"/>
      <c r="B50" s="21"/>
      <c r="C50" s="21"/>
      <c r="D50" s="43"/>
      <c r="E50" s="134"/>
      <c r="F50" s="54"/>
      <c r="G50" s="55"/>
      <c r="H50" s="14"/>
      <c r="I50" s="14"/>
      <c r="J50" s="14"/>
      <c r="K50" s="14"/>
      <c r="L50" s="15"/>
      <c r="M50" s="14"/>
      <c r="N50" s="14"/>
      <c r="O50" s="14"/>
      <c r="P50" s="14"/>
      <c r="Q50" s="14"/>
      <c r="R50" s="14"/>
      <c r="S50" s="14"/>
      <c r="T50" s="14"/>
      <c r="U50" s="18"/>
      <c r="V50" s="3"/>
      <c r="W50" s="3"/>
      <c r="X50" s="3"/>
      <c r="Y50" s="3"/>
    </row>
    <row r="51" spans="1:25" ht="18.75" x14ac:dyDescent="0.25">
      <c r="A51" s="5"/>
      <c r="B51" s="21"/>
      <c r="C51" s="21"/>
      <c r="D51" s="43"/>
      <c r="E51" s="134"/>
      <c r="F51" s="54"/>
      <c r="G51" s="55"/>
      <c r="H51" s="14"/>
      <c r="I51" s="14"/>
      <c r="J51" s="14"/>
      <c r="K51" s="14"/>
      <c r="L51" s="15"/>
      <c r="M51" s="14"/>
      <c r="N51" s="14"/>
      <c r="O51" s="14"/>
      <c r="P51" s="14"/>
      <c r="Q51" s="14"/>
      <c r="R51" s="14"/>
      <c r="S51" s="14"/>
      <c r="T51" s="14"/>
      <c r="U51" s="18"/>
      <c r="V51" s="3"/>
      <c r="W51" s="18"/>
      <c r="X51" s="3"/>
      <c r="Y51" s="3"/>
    </row>
    <row r="52" spans="1:25" ht="18.75" x14ac:dyDescent="0.25">
      <c r="A52" s="5"/>
      <c r="B52" s="21"/>
      <c r="C52" s="21"/>
      <c r="D52" s="43"/>
      <c r="E52" s="134"/>
      <c r="F52" s="54"/>
      <c r="G52" s="55"/>
      <c r="H52" s="14"/>
      <c r="I52" s="14"/>
      <c r="J52" s="14"/>
      <c r="K52" s="14"/>
      <c r="L52" s="15"/>
      <c r="M52" s="14"/>
      <c r="N52" s="14"/>
      <c r="O52" s="14"/>
      <c r="P52" s="14"/>
      <c r="Q52" s="14"/>
      <c r="R52" s="14"/>
      <c r="S52" s="14"/>
      <c r="T52" s="14"/>
      <c r="U52" s="18"/>
      <c r="V52" s="3"/>
      <c r="W52" s="18"/>
      <c r="X52" s="3"/>
      <c r="Y52" s="3"/>
    </row>
    <row r="53" spans="1:25" ht="18.75" x14ac:dyDescent="0.25">
      <c r="A53" s="5"/>
      <c r="B53" s="21"/>
      <c r="C53" s="21"/>
      <c r="D53" s="43"/>
      <c r="E53" s="134"/>
      <c r="F53" s="54"/>
      <c r="G53" s="55"/>
      <c r="H53" s="14"/>
      <c r="I53" s="14"/>
      <c r="J53" s="14"/>
      <c r="K53" s="14"/>
      <c r="L53" s="15"/>
      <c r="M53" s="14"/>
      <c r="N53" s="14"/>
      <c r="O53" s="14"/>
      <c r="P53" s="14"/>
      <c r="Q53" s="14"/>
      <c r="R53" s="14"/>
      <c r="S53" s="14"/>
      <c r="T53" s="14"/>
      <c r="U53" s="18"/>
      <c r="V53" s="3"/>
      <c r="W53" s="3"/>
      <c r="X53" s="3"/>
      <c r="Y53" s="3"/>
    </row>
    <row r="54" spans="1:25" ht="18.75" x14ac:dyDescent="0.25">
      <c r="A54" s="5"/>
      <c r="B54" s="21"/>
      <c r="C54" s="21"/>
      <c r="D54" s="43"/>
      <c r="E54" s="134"/>
      <c r="F54" s="54"/>
      <c r="G54" s="55"/>
      <c r="H54" s="14"/>
      <c r="I54" s="14"/>
      <c r="J54" s="14"/>
      <c r="K54" s="14"/>
      <c r="L54" s="15"/>
      <c r="M54" s="14"/>
      <c r="N54" s="14"/>
      <c r="O54" s="14"/>
      <c r="P54" s="14"/>
      <c r="Q54" s="14"/>
      <c r="R54" s="14"/>
      <c r="S54" s="14"/>
      <c r="T54" s="14"/>
      <c r="U54" s="18"/>
      <c r="V54" s="3"/>
      <c r="W54" s="3"/>
      <c r="X54" s="3"/>
      <c r="Y54" s="3"/>
    </row>
    <row r="55" spans="1:25" ht="18.75" x14ac:dyDescent="0.25">
      <c r="A55" s="5"/>
      <c r="B55" s="21"/>
      <c r="C55" s="21"/>
      <c r="D55" s="43"/>
      <c r="E55" s="134"/>
      <c r="F55" s="54"/>
      <c r="G55" s="55"/>
      <c r="H55" s="14"/>
      <c r="I55" s="14"/>
      <c r="J55" s="14"/>
      <c r="K55" s="14"/>
      <c r="L55" s="15"/>
      <c r="M55" s="14"/>
      <c r="N55" s="14"/>
      <c r="O55" s="14"/>
      <c r="P55" s="14"/>
      <c r="Q55" s="14"/>
      <c r="R55" s="14"/>
      <c r="S55" s="14"/>
      <c r="T55" s="14"/>
      <c r="U55" s="18"/>
      <c r="V55" s="3"/>
      <c r="W55" s="3"/>
      <c r="X55" s="3"/>
      <c r="Y55" s="3"/>
    </row>
    <row r="56" spans="1:25" ht="18.75" x14ac:dyDescent="0.25">
      <c r="A56" s="5"/>
      <c r="B56" s="21"/>
      <c r="C56" s="21"/>
      <c r="D56" s="43"/>
      <c r="E56" s="134"/>
      <c r="F56" s="54"/>
      <c r="G56" s="55"/>
      <c r="H56" s="14"/>
      <c r="I56" s="14"/>
      <c r="J56" s="14"/>
      <c r="K56" s="14"/>
      <c r="L56" s="15"/>
      <c r="M56" s="14"/>
      <c r="N56" s="14"/>
      <c r="O56" s="14"/>
      <c r="P56" s="14"/>
      <c r="Q56" s="14"/>
      <c r="R56" s="14"/>
      <c r="S56" s="14"/>
      <c r="T56" s="14"/>
      <c r="U56" s="18"/>
      <c r="V56" s="3"/>
      <c r="W56" s="3"/>
      <c r="X56" s="3"/>
      <c r="Y56" s="3"/>
    </row>
    <row r="57" spans="1:25" ht="18.75" x14ac:dyDescent="0.25">
      <c r="A57" s="5"/>
      <c r="B57" s="21"/>
      <c r="C57" s="21"/>
      <c r="D57" s="43"/>
      <c r="E57" s="134"/>
      <c r="F57" s="54"/>
      <c r="G57" s="55"/>
      <c r="H57" s="14"/>
      <c r="I57" s="14"/>
      <c r="J57" s="14"/>
      <c r="K57" s="14"/>
      <c r="L57" s="15"/>
      <c r="M57" s="14"/>
      <c r="N57" s="14"/>
      <c r="O57" s="14"/>
      <c r="P57" s="14"/>
      <c r="Q57" s="14"/>
      <c r="R57" s="14"/>
      <c r="S57" s="14"/>
      <c r="T57" s="14"/>
      <c r="U57" s="18"/>
      <c r="V57" s="3"/>
      <c r="W57" s="3"/>
      <c r="X57" s="3"/>
      <c r="Y57" s="3"/>
    </row>
    <row r="58" spans="1:25" ht="18.75" x14ac:dyDescent="0.25">
      <c r="A58" s="5"/>
      <c r="B58" s="21"/>
      <c r="C58" s="21"/>
      <c r="D58" s="43"/>
      <c r="E58" s="134"/>
      <c r="F58" s="54"/>
      <c r="G58" s="55"/>
      <c r="H58" s="14"/>
      <c r="I58" s="14"/>
      <c r="J58" s="14"/>
      <c r="K58" s="14"/>
      <c r="L58" s="15"/>
      <c r="M58" s="14"/>
      <c r="N58" s="14"/>
      <c r="O58" s="14"/>
      <c r="P58" s="14"/>
      <c r="Q58" s="14"/>
      <c r="R58" s="14"/>
      <c r="S58" s="14"/>
      <c r="T58" s="14"/>
      <c r="U58" s="18"/>
      <c r="V58" s="3"/>
      <c r="W58" s="3"/>
      <c r="X58" s="3"/>
      <c r="Y58" s="3"/>
    </row>
    <row r="59" spans="1:25" ht="18.75" x14ac:dyDescent="0.25">
      <c r="A59" s="5"/>
      <c r="B59" s="21"/>
      <c r="C59" s="21"/>
      <c r="D59" s="43"/>
      <c r="E59" s="134"/>
      <c r="F59" s="54"/>
      <c r="G59" s="55"/>
      <c r="H59" s="14"/>
      <c r="I59" s="14"/>
      <c r="J59" s="14"/>
      <c r="K59" s="14"/>
      <c r="L59" s="15"/>
      <c r="M59" s="14"/>
      <c r="N59" s="14"/>
      <c r="O59" s="14"/>
      <c r="P59" s="14"/>
      <c r="Q59" s="14"/>
      <c r="R59" s="14"/>
      <c r="S59" s="14"/>
      <c r="T59" s="14"/>
      <c r="U59" s="18"/>
      <c r="V59" s="3"/>
      <c r="W59" s="18"/>
      <c r="X59" s="3"/>
      <c r="Y59" s="3"/>
    </row>
    <row r="60" spans="1:25" ht="18.75" x14ac:dyDescent="0.25">
      <c r="A60" s="5"/>
      <c r="B60" s="21"/>
      <c r="C60" s="21"/>
      <c r="D60" s="43"/>
      <c r="E60" s="134"/>
      <c r="F60" s="54"/>
      <c r="G60" s="55"/>
      <c r="H60" s="14"/>
      <c r="I60" s="14"/>
      <c r="J60" s="14"/>
      <c r="K60" s="14"/>
      <c r="L60" s="15"/>
      <c r="M60" s="14"/>
      <c r="N60" s="14"/>
      <c r="O60" s="14"/>
      <c r="P60" s="14"/>
      <c r="Q60" s="14"/>
      <c r="R60" s="14"/>
      <c r="S60" s="14"/>
      <c r="T60" s="14"/>
      <c r="U60" s="18"/>
      <c r="V60" s="3"/>
      <c r="W60" s="3"/>
      <c r="X60" s="3"/>
      <c r="Y60" s="3"/>
    </row>
    <row r="61" spans="1:25" ht="18.75" x14ac:dyDescent="0.25">
      <c r="A61" s="5"/>
      <c r="B61" s="21"/>
      <c r="C61" s="21"/>
      <c r="D61" s="43"/>
      <c r="E61" s="134"/>
      <c r="F61" s="54"/>
      <c r="G61" s="55"/>
      <c r="H61" s="14"/>
      <c r="I61" s="14"/>
      <c r="J61" s="14"/>
      <c r="K61" s="14"/>
      <c r="L61" s="15"/>
      <c r="M61" s="14"/>
      <c r="N61" s="14"/>
      <c r="O61" s="14"/>
      <c r="P61" s="14"/>
      <c r="Q61" s="14"/>
      <c r="R61" s="14"/>
      <c r="S61" s="14"/>
      <c r="T61" s="14"/>
      <c r="U61" s="18"/>
      <c r="V61" s="3"/>
      <c r="W61" s="3"/>
      <c r="X61" s="3"/>
      <c r="Y61" s="3"/>
    </row>
    <row r="62" spans="1:25" ht="18.75" x14ac:dyDescent="0.25">
      <c r="A62" s="5"/>
      <c r="B62" s="21"/>
      <c r="C62" s="21"/>
      <c r="D62" s="43"/>
      <c r="E62" s="134"/>
      <c r="F62" s="54"/>
      <c r="G62" s="55"/>
      <c r="H62" s="14"/>
      <c r="I62" s="14"/>
      <c r="J62" s="14"/>
      <c r="K62" s="14"/>
      <c r="L62" s="15"/>
      <c r="M62" s="14"/>
      <c r="N62" s="14"/>
      <c r="O62" s="14"/>
      <c r="P62" s="14"/>
      <c r="Q62" s="14"/>
      <c r="R62" s="14"/>
      <c r="S62" s="14"/>
      <c r="T62" s="14"/>
      <c r="U62" s="18"/>
      <c r="V62" s="3"/>
      <c r="W62" s="3"/>
      <c r="X62" s="3"/>
      <c r="Y62" s="3"/>
    </row>
    <row r="63" spans="1:25" ht="18.75" x14ac:dyDescent="0.25">
      <c r="A63" s="5"/>
      <c r="B63" s="21"/>
      <c r="C63" s="21"/>
      <c r="D63" s="43"/>
      <c r="E63" s="134"/>
      <c r="F63" s="54"/>
      <c r="G63" s="55"/>
      <c r="H63" s="14"/>
      <c r="I63" s="14"/>
      <c r="J63" s="14"/>
      <c r="K63" s="14"/>
      <c r="L63" s="15"/>
      <c r="M63" s="14"/>
      <c r="N63" s="14"/>
      <c r="O63" s="14"/>
      <c r="P63" s="14"/>
      <c r="Q63" s="14"/>
      <c r="R63" s="14"/>
      <c r="S63" s="14"/>
      <c r="T63" s="14"/>
      <c r="U63" s="18"/>
      <c r="V63" s="3"/>
      <c r="W63" s="3"/>
      <c r="X63" s="3"/>
      <c r="Y63" s="3"/>
    </row>
    <row r="64" spans="1:25" ht="18.75" x14ac:dyDescent="0.25">
      <c r="A64" s="5"/>
      <c r="B64" s="21"/>
      <c r="C64" s="21"/>
      <c r="D64" s="43"/>
      <c r="E64" s="134"/>
      <c r="F64" s="54"/>
      <c r="G64" s="55"/>
      <c r="H64" s="14"/>
      <c r="I64" s="14"/>
      <c r="J64" s="14"/>
      <c r="K64" s="14"/>
      <c r="L64" s="15"/>
      <c r="M64" s="14"/>
      <c r="N64" s="14"/>
      <c r="O64" s="14"/>
      <c r="P64" s="14"/>
      <c r="Q64" s="14"/>
      <c r="R64" s="14"/>
      <c r="S64" s="14"/>
      <c r="T64" s="14"/>
      <c r="U64" s="18"/>
      <c r="V64" s="3"/>
      <c r="W64" s="3"/>
      <c r="X64" s="3"/>
      <c r="Y64" s="3"/>
    </row>
    <row r="65" spans="1:26" ht="18.75" x14ac:dyDescent="0.25">
      <c r="A65" s="5"/>
      <c r="B65" s="21"/>
      <c r="C65" s="21"/>
      <c r="D65" s="43"/>
      <c r="E65" s="134"/>
      <c r="F65" s="54"/>
      <c r="G65" s="55"/>
      <c r="H65" s="14"/>
      <c r="I65" s="14"/>
      <c r="J65" s="14"/>
      <c r="K65" s="14"/>
      <c r="L65" s="15"/>
      <c r="M65" s="14"/>
      <c r="N65" s="14"/>
      <c r="O65" s="14"/>
      <c r="P65" s="14"/>
      <c r="Q65" s="14"/>
      <c r="R65" s="14"/>
      <c r="S65" s="14"/>
      <c r="T65" s="14"/>
      <c r="U65" s="18"/>
      <c r="V65" s="3"/>
      <c r="W65" s="3"/>
      <c r="X65" s="3"/>
      <c r="Y65" s="3"/>
    </row>
    <row r="66" spans="1:26" ht="18.75" x14ac:dyDescent="0.25">
      <c r="A66" s="18"/>
      <c r="B66" s="18"/>
      <c r="C66" s="18"/>
      <c r="D66" s="13"/>
      <c r="E66" s="13"/>
      <c r="F66" s="18"/>
      <c r="G66" s="15"/>
      <c r="H66" s="14"/>
      <c r="I66" s="14"/>
      <c r="J66" s="14"/>
      <c r="K66" s="14"/>
      <c r="L66" s="15"/>
      <c r="M66" s="14"/>
      <c r="N66" s="14"/>
      <c r="O66" s="14"/>
      <c r="P66" s="14"/>
      <c r="Q66" s="14"/>
      <c r="R66" s="14"/>
      <c r="S66" s="14"/>
      <c r="T66" s="14"/>
      <c r="U66" s="18"/>
      <c r="V66" s="3"/>
      <c r="W66" s="3"/>
      <c r="X66" s="3"/>
      <c r="Y66" s="3"/>
      <c r="Z66" s="160"/>
    </row>
    <row r="67" spans="1:26" ht="18.75" x14ac:dyDescent="0.25">
      <c r="A67" s="18"/>
      <c r="B67" s="18"/>
      <c r="C67" s="18"/>
      <c r="D67" s="13"/>
      <c r="E67" s="13"/>
      <c r="F67" s="18"/>
      <c r="G67" s="15"/>
      <c r="H67" s="14"/>
      <c r="I67" s="14"/>
      <c r="J67" s="14"/>
      <c r="K67" s="14"/>
      <c r="L67" s="15"/>
      <c r="M67" s="14"/>
      <c r="N67" s="14"/>
      <c r="O67" s="14"/>
      <c r="P67" s="14"/>
      <c r="Q67" s="14"/>
      <c r="R67" s="14"/>
      <c r="S67" s="14"/>
      <c r="T67" s="14"/>
      <c r="U67" s="18"/>
      <c r="V67" s="3"/>
      <c r="W67" s="3"/>
      <c r="X67" s="3"/>
      <c r="Y67" s="3"/>
      <c r="Z67" s="160"/>
    </row>
    <row r="68" spans="1:26" ht="18.75" x14ac:dyDescent="0.25">
      <c r="A68" s="18"/>
      <c r="B68" s="18"/>
      <c r="C68" s="18"/>
      <c r="D68" s="13"/>
      <c r="E68" s="13"/>
      <c r="F68" s="18"/>
      <c r="G68" s="15"/>
      <c r="H68" s="14"/>
      <c r="I68" s="14"/>
      <c r="J68" s="14"/>
      <c r="K68" s="14"/>
      <c r="L68" s="15"/>
      <c r="M68" s="14"/>
      <c r="N68" s="14"/>
      <c r="O68" s="14"/>
      <c r="P68" s="14"/>
      <c r="Q68" s="14"/>
      <c r="R68" s="14"/>
      <c r="S68" s="14"/>
      <c r="T68" s="14"/>
      <c r="U68" s="18"/>
      <c r="V68" s="3"/>
      <c r="W68" s="3"/>
      <c r="X68" s="3"/>
      <c r="Y68" s="3"/>
      <c r="Z68" s="160"/>
    </row>
    <row r="69" spans="1:26" ht="18.75" x14ac:dyDescent="0.25">
      <c r="A69" s="18"/>
      <c r="B69" s="18"/>
      <c r="C69" s="18"/>
      <c r="D69" s="13"/>
      <c r="E69" s="13"/>
      <c r="F69" s="18"/>
      <c r="G69" s="15"/>
      <c r="H69" s="14"/>
      <c r="I69" s="14"/>
      <c r="J69" s="14"/>
      <c r="K69" s="14"/>
      <c r="L69" s="15"/>
      <c r="M69" s="14"/>
      <c r="N69" s="14"/>
      <c r="O69" s="14"/>
      <c r="P69" s="14"/>
      <c r="Q69" s="14"/>
      <c r="R69" s="14"/>
      <c r="S69" s="14"/>
      <c r="T69" s="14"/>
      <c r="U69" s="18"/>
      <c r="V69" s="3"/>
      <c r="W69" s="3"/>
      <c r="X69" s="3"/>
      <c r="Y69" s="3"/>
      <c r="Z69" s="160"/>
    </row>
    <row r="70" spans="1:26" ht="18.75" x14ac:dyDescent="0.25">
      <c r="A70" s="18"/>
      <c r="B70" s="18"/>
      <c r="C70" s="18"/>
      <c r="D70" s="13"/>
      <c r="E70" s="13"/>
      <c r="F70" s="18"/>
      <c r="G70" s="15"/>
      <c r="H70" s="14"/>
      <c r="I70" s="14"/>
      <c r="J70" s="14"/>
      <c r="K70" s="14"/>
      <c r="L70" s="15"/>
      <c r="M70" s="14"/>
      <c r="N70" s="14"/>
      <c r="O70" s="14"/>
      <c r="P70" s="14"/>
      <c r="Q70" s="14"/>
      <c r="R70" s="14"/>
      <c r="S70" s="14"/>
      <c r="T70" s="14"/>
      <c r="U70" s="18"/>
      <c r="V70" s="3"/>
      <c r="W70" s="3"/>
      <c r="X70" s="3"/>
      <c r="Y70" s="3"/>
      <c r="Z70" s="160"/>
    </row>
    <row r="71" spans="1:26" ht="18.75" x14ac:dyDescent="0.25">
      <c r="A71" s="18"/>
      <c r="B71" s="18"/>
      <c r="C71" s="18"/>
      <c r="D71" s="13"/>
      <c r="E71" s="13"/>
      <c r="F71" s="18"/>
      <c r="G71" s="15"/>
      <c r="H71" s="14"/>
      <c r="I71" s="14"/>
      <c r="J71" s="14"/>
      <c r="K71" s="14"/>
      <c r="L71" s="15"/>
      <c r="M71" s="14"/>
      <c r="N71" s="14"/>
      <c r="O71" s="14"/>
      <c r="P71" s="14"/>
      <c r="Q71" s="14"/>
      <c r="R71" s="14"/>
      <c r="S71" s="14"/>
      <c r="T71" s="14"/>
      <c r="U71" s="18"/>
      <c r="V71" s="3"/>
      <c r="W71" s="3"/>
      <c r="X71" s="3"/>
      <c r="Y71" s="3"/>
      <c r="Z71" s="160"/>
    </row>
    <row r="72" spans="1:26" ht="18.75" x14ac:dyDescent="0.25">
      <c r="A72" s="18"/>
      <c r="B72" s="18"/>
      <c r="C72" s="18"/>
      <c r="D72" s="13"/>
      <c r="E72" s="13"/>
      <c r="F72" s="18"/>
      <c r="G72" s="15"/>
      <c r="H72" s="14"/>
      <c r="I72" s="14"/>
      <c r="J72" s="14"/>
      <c r="K72" s="14"/>
      <c r="L72" s="15"/>
      <c r="M72" s="14"/>
      <c r="N72" s="14"/>
      <c r="O72" s="14"/>
      <c r="P72" s="14"/>
      <c r="Q72" s="14"/>
      <c r="R72" s="14"/>
      <c r="S72" s="14"/>
      <c r="T72" s="14"/>
      <c r="U72" s="18"/>
      <c r="V72" s="3"/>
      <c r="W72" s="3"/>
      <c r="X72" s="3"/>
      <c r="Y72" s="3"/>
      <c r="Z72" s="160"/>
    </row>
    <row r="73" spans="1:26" ht="18.75" x14ac:dyDescent="0.25">
      <c r="A73" s="18"/>
      <c r="B73" s="18"/>
      <c r="C73" s="18"/>
      <c r="D73" s="13"/>
      <c r="E73" s="13"/>
      <c r="F73" s="18"/>
      <c r="G73" s="15"/>
      <c r="H73" s="14"/>
      <c r="I73" s="14"/>
      <c r="J73" s="14"/>
      <c r="K73" s="14"/>
      <c r="L73" s="15"/>
      <c r="M73" s="14"/>
      <c r="N73" s="14"/>
      <c r="O73" s="14"/>
      <c r="P73" s="14"/>
      <c r="Q73" s="14"/>
      <c r="R73" s="14"/>
      <c r="S73" s="14"/>
      <c r="T73" s="14"/>
      <c r="U73" s="18"/>
      <c r="V73" s="3"/>
      <c r="W73" s="3"/>
      <c r="X73" s="3"/>
      <c r="Y73" s="3"/>
      <c r="Z73" s="160"/>
    </row>
    <row r="74" spans="1:26" ht="18.75" x14ac:dyDescent="0.25">
      <c r="A74" s="18"/>
      <c r="B74" s="18"/>
      <c r="C74" s="18"/>
      <c r="D74" s="13"/>
      <c r="E74" s="13"/>
      <c r="F74" s="18"/>
      <c r="G74" s="15"/>
      <c r="H74" s="14"/>
      <c r="I74" s="14"/>
      <c r="J74" s="14"/>
      <c r="K74" s="14"/>
      <c r="L74" s="15"/>
      <c r="M74" s="14"/>
      <c r="N74" s="14"/>
      <c r="O74" s="14"/>
      <c r="P74" s="14"/>
      <c r="Q74" s="14"/>
      <c r="R74" s="14"/>
      <c r="S74" s="14"/>
      <c r="T74" s="14"/>
      <c r="U74" s="18"/>
      <c r="V74" s="3"/>
      <c r="W74" s="3"/>
      <c r="X74" s="3"/>
      <c r="Y74" s="3"/>
      <c r="Z74" s="160"/>
    </row>
    <row r="75" spans="1:26" ht="18.75" x14ac:dyDescent="0.25">
      <c r="A75" s="18"/>
      <c r="B75" s="18"/>
      <c r="C75" s="18"/>
      <c r="D75" s="13"/>
      <c r="E75" s="13"/>
      <c r="F75" s="18"/>
      <c r="G75" s="15"/>
      <c r="H75" s="14"/>
      <c r="I75" s="14"/>
      <c r="J75" s="14"/>
      <c r="K75" s="14"/>
      <c r="L75" s="15"/>
      <c r="M75" s="14"/>
      <c r="N75" s="14"/>
      <c r="O75" s="14"/>
      <c r="P75" s="14"/>
      <c r="Q75" s="14"/>
      <c r="R75" s="14"/>
      <c r="S75" s="14"/>
      <c r="T75" s="14"/>
      <c r="U75" s="18"/>
      <c r="V75" s="3"/>
      <c r="W75" s="3"/>
      <c r="X75" s="3"/>
      <c r="Y75" s="3"/>
      <c r="Z75" s="160"/>
    </row>
    <row r="76" spans="1:26" ht="18.75" x14ac:dyDescent="0.25">
      <c r="A76" s="18"/>
      <c r="B76" s="18"/>
      <c r="C76" s="18"/>
      <c r="D76" s="13"/>
      <c r="E76" s="13"/>
      <c r="F76" s="18"/>
      <c r="G76" s="15"/>
      <c r="H76" s="14"/>
      <c r="I76" s="14"/>
      <c r="J76" s="14"/>
      <c r="K76" s="14"/>
      <c r="L76" s="15"/>
      <c r="M76" s="14"/>
      <c r="N76" s="14"/>
      <c r="O76" s="14"/>
      <c r="P76" s="14"/>
      <c r="Q76" s="14"/>
      <c r="R76" s="14"/>
      <c r="S76" s="14"/>
      <c r="T76" s="14"/>
      <c r="U76" s="18"/>
      <c r="V76" s="3"/>
      <c r="W76" s="3"/>
      <c r="X76" s="3"/>
      <c r="Y76" s="3"/>
      <c r="Z76" s="160"/>
    </row>
    <row r="77" spans="1:26" ht="18.75" x14ac:dyDescent="0.25">
      <c r="A77" s="18"/>
      <c r="B77" s="18"/>
      <c r="C77" s="18"/>
      <c r="D77" s="13"/>
      <c r="E77" s="13"/>
      <c r="F77" s="18"/>
      <c r="G77" s="15"/>
      <c r="H77" s="14"/>
      <c r="I77" s="14"/>
      <c r="J77" s="14"/>
      <c r="K77" s="14"/>
      <c r="L77" s="15"/>
      <c r="M77" s="14"/>
      <c r="N77" s="14"/>
      <c r="O77" s="14"/>
      <c r="P77" s="14"/>
      <c r="Q77" s="14"/>
      <c r="R77" s="14"/>
      <c r="S77" s="14"/>
      <c r="T77" s="14"/>
      <c r="U77" s="18"/>
      <c r="V77" s="3"/>
      <c r="W77" s="3"/>
      <c r="X77" s="3"/>
      <c r="Y77" s="3"/>
      <c r="Z77" s="160"/>
    </row>
    <row r="78" spans="1:26" ht="18.75" x14ac:dyDescent="0.25">
      <c r="A78" s="18"/>
      <c r="B78" s="18"/>
      <c r="C78" s="18"/>
      <c r="D78" s="13"/>
      <c r="E78" s="13"/>
      <c r="F78" s="18"/>
      <c r="G78" s="15"/>
      <c r="H78" s="14"/>
      <c r="I78" s="14"/>
      <c r="J78" s="14"/>
      <c r="K78" s="14"/>
      <c r="L78" s="15"/>
      <c r="M78" s="14"/>
      <c r="N78" s="14"/>
      <c r="O78" s="14"/>
      <c r="P78" s="14"/>
      <c r="Q78" s="14"/>
      <c r="R78" s="14"/>
      <c r="S78" s="14"/>
      <c r="T78" s="14"/>
      <c r="U78" s="18"/>
      <c r="V78" s="3"/>
      <c r="W78" s="3"/>
      <c r="X78" s="3"/>
      <c r="Y78" s="3"/>
      <c r="Z78" s="160"/>
    </row>
    <row r="79" spans="1:26" ht="18.75" x14ac:dyDescent="0.25">
      <c r="A79" s="18"/>
      <c r="B79" s="18"/>
      <c r="C79" s="18"/>
      <c r="D79" s="13"/>
      <c r="E79" s="13"/>
      <c r="F79" s="18"/>
      <c r="G79" s="15"/>
      <c r="H79" s="14"/>
      <c r="I79" s="14"/>
      <c r="J79" s="14"/>
      <c r="K79" s="14"/>
      <c r="L79" s="15"/>
      <c r="M79" s="14"/>
      <c r="N79" s="14"/>
      <c r="O79" s="14"/>
      <c r="P79" s="14"/>
      <c r="Q79" s="14"/>
      <c r="R79" s="14"/>
      <c r="S79" s="14"/>
      <c r="T79" s="14"/>
      <c r="U79" s="18"/>
      <c r="V79" s="3"/>
      <c r="W79" s="3"/>
      <c r="X79" s="3"/>
      <c r="Y79" s="3"/>
      <c r="Z79" s="160"/>
    </row>
    <row r="80" spans="1:26" ht="18.75" x14ac:dyDescent="0.25">
      <c r="A80" s="18"/>
      <c r="B80" s="18"/>
      <c r="C80" s="18"/>
      <c r="D80" s="13"/>
      <c r="E80" s="13"/>
      <c r="F80" s="18"/>
      <c r="G80" s="15"/>
      <c r="H80" s="14"/>
      <c r="I80" s="14"/>
      <c r="J80" s="14"/>
      <c r="K80" s="14"/>
      <c r="L80" s="15"/>
      <c r="M80" s="14"/>
      <c r="N80" s="14"/>
      <c r="O80" s="14"/>
      <c r="P80" s="14"/>
      <c r="Q80" s="14"/>
      <c r="R80" s="14"/>
      <c r="S80" s="14"/>
      <c r="T80" s="14"/>
      <c r="U80" s="18"/>
      <c r="V80" s="3"/>
      <c r="W80" s="3"/>
      <c r="X80" s="3"/>
      <c r="Y80" s="3"/>
      <c r="Z80" s="160"/>
    </row>
    <row r="81" spans="1:26" ht="18.75" x14ac:dyDescent="0.25">
      <c r="A81" s="18"/>
      <c r="B81" s="18"/>
      <c r="C81" s="18"/>
      <c r="D81" s="13"/>
      <c r="E81" s="13"/>
      <c r="F81" s="18"/>
      <c r="G81" s="15"/>
      <c r="H81" s="14"/>
      <c r="I81" s="14"/>
      <c r="J81" s="14"/>
      <c r="K81" s="14"/>
      <c r="L81" s="15"/>
      <c r="M81" s="14"/>
      <c r="N81" s="14"/>
      <c r="O81" s="14"/>
      <c r="P81" s="14"/>
      <c r="Q81" s="14"/>
      <c r="R81" s="14"/>
      <c r="S81" s="14"/>
      <c r="T81" s="14"/>
      <c r="U81" s="18"/>
      <c r="V81" s="3"/>
      <c r="W81" s="3"/>
      <c r="X81" s="3"/>
      <c r="Y81" s="3"/>
      <c r="Z81" s="160"/>
    </row>
    <row r="82" spans="1:26" ht="18.75" x14ac:dyDescent="0.25">
      <c r="A82" s="18"/>
      <c r="B82" s="18"/>
      <c r="C82" s="18"/>
      <c r="D82" s="13"/>
      <c r="E82" s="13"/>
      <c r="F82" s="18"/>
      <c r="G82" s="15"/>
      <c r="H82" s="14"/>
      <c r="I82" s="14"/>
      <c r="J82" s="14"/>
      <c r="K82" s="14"/>
      <c r="L82" s="15"/>
      <c r="M82" s="14"/>
      <c r="N82" s="14"/>
      <c r="O82" s="14"/>
      <c r="P82" s="14"/>
      <c r="Q82" s="14"/>
      <c r="R82" s="14"/>
      <c r="S82" s="14"/>
      <c r="T82" s="14"/>
      <c r="U82" s="18"/>
      <c r="V82" s="3"/>
      <c r="W82" s="3"/>
      <c r="X82" s="3"/>
      <c r="Y82" s="3"/>
      <c r="Z82" s="160"/>
    </row>
    <row r="83" spans="1:26" ht="18.75" x14ac:dyDescent="0.25">
      <c r="A83" s="18"/>
      <c r="B83" s="18"/>
      <c r="C83" s="18"/>
      <c r="D83" s="13"/>
      <c r="E83" s="13"/>
      <c r="F83" s="18"/>
      <c r="G83" s="15"/>
      <c r="H83" s="14"/>
      <c r="I83" s="14"/>
      <c r="J83" s="14"/>
      <c r="K83" s="14"/>
      <c r="L83" s="15"/>
      <c r="M83" s="14"/>
      <c r="N83" s="14"/>
      <c r="O83" s="14"/>
      <c r="P83" s="14"/>
      <c r="Q83" s="14"/>
      <c r="R83" s="14"/>
      <c r="S83" s="14"/>
      <c r="T83" s="14"/>
      <c r="U83" s="18"/>
      <c r="V83" s="3"/>
      <c r="W83" s="3"/>
      <c r="X83" s="3"/>
      <c r="Y83" s="3"/>
      <c r="Z83" s="160"/>
    </row>
    <row r="84" spans="1:26" ht="18.75" x14ac:dyDescent="0.25">
      <c r="A84" s="18"/>
      <c r="B84" s="18"/>
      <c r="C84" s="18"/>
      <c r="D84" s="13"/>
      <c r="E84" s="13"/>
      <c r="F84" s="18"/>
      <c r="G84" s="15"/>
      <c r="H84" s="14"/>
      <c r="I84" s="14"/>
      <c r="J84" s="14"/>
      <c r="K84" s="14"/>
      <c r="L84" s="15"/>
      <c r="M84" s="14"/>
      <c r="N84" s="14"/>
      <c r="O84" s="14"/>
      <c r="P84" s="14"/>
      <c r="Q84" s="14"/>
      <c r="R84" s="14"/>
      <c r="S84" s="14"/>
      <c r="T84" s="14"/>
      <c r="U84" s="18"/>
      <c r="V84" s="3"/>
      <c r="W84" s="3"/>
      <c r="X84" s="3"/>
      <c r="Y84" s="3"/>
      <c r="Z84" s="160"/>
    </row>
    <row r="85" spans="1:26" ht="18.75" x14ac:dyDescent="0.25">
      <c r="A85" s="18"/>
      <c r="B85" s="18"/>
      <c r="C85" s="18"/>
      <c r="D85" s="13"/>
      <c r="E85" s="13"/>
      <c r="F85" s="18"/>
      <c r="G85" s="15"/>
      <c r="H85" s="14"/>
      <c r="I85" s="14"/>
      <c r="J85" s="14"/>
      <c r="K85" s="14"/>
      <c r="L85" s="15"/>
      <c r="M85" s="14"/>
      <c r="N85" s="14"/>
      <c r="O85" s="14"/>
      <c r="P85" s="14"/>
      <c r="Q85" s="14"/>
      <c r="R85" s="14"/>
      <c r="S85" s="14"/>
      <c r="T85" s="14"/>
      <c r="U85" s="18"/>
      <c r="V85" s="3"/>
      <c r="W85" s="3"/>
      <c r="X85" s="3"/>
      <c r="Y85" s="3"/>
      <c r="Z85" s="160"/>
    </row>
    <row r="86" spans="1:26" ht="18.75" x14ac:dyDescent="0.25">
      <c r="A86" s="18"/>
      <c r="B86" s="18"/>
      <c r="C86" s="18"/>
      <c r="D86" s="13"/>
      <c r="E86" s="13"/>
      <c r="F86" s="18"/>
      <c r="G86" s="15"/>
      <c r="H86" s="14"/>
      <c r="I86" s="14"/>
      <c r="J86" s="14"/>
      <c r="K86" s="14"/>
      <c r="L86" s="15"/>
      <c r="M86" s="14"/>
      <c r="N86" s="14"/>
      <c r="O86" s="14"/>
      <c r="P86" s="14"/>
      <c r="Q86" s="14"/>
      <c r="R86" s="14"/>
      <c r="S86" s="14"/>
      <c r="T86" s="14"/>
      <c r="U86" s="18"/>
      <c r="V86" s="3"/>
      <c r="W86" s="3"/>
      <c r="X86" s="3"/>
      <c r="Y86" s="3"/>
      <c r="Z86" s="160"/>
    </row>
    <row r="87" spans="1:26" ht="18.75" x14ac:dyDescent="0.25">
      <c r="A87" s="18"/>
      <c r="B87" s="18"/>
      <c r="C87" s="18"/>
      <c r="D87" s="13"/>
      <c r="E87" s="13"/>
      <c r="F87" s="18"/>
      <c r="G87" s="15"/>
      <c r="H87" s="14"/>
      <c r="I87" s="14"/>
      <c r="J87" s="14"/>
      <c r="K87" s="14"/>
      <c r="L87" s="15"/>
      <c r="M87" s="14"/>
      <c r="N87" s="14"/>
      <c r="O87" s="14"/>
      <c r="P87" s="14"/>
      <c r="Q87" s="14"/>
      <c r="R87" s="14"/>
      <c r="S87" s="14"/>
      <c r="T87" s="14"/>
      <c r="U87" s="18"/>
      <c r="V87" s="3"/>
      <c r="W87" s="3"/>
      <c r="X87" s="3"/>
      <c r="Y87" s="3"/>
      <c r="Z87" s="160"/>
    </row>
    <row r="88" spans="1:26" ht="18.75" x14ac:dyDescent="0.25">
      <c r="A88" s="18"/>
      <c r="B88" s="18"/>
      <c r="C88" s="18"/>
      <c r="D88" s="13"/>
      <c r="E88" s="13"/>
      <c r="F88" s="18"/>
      <c r="G88" s="15"/>
      <c r="H88" s="14"/>
      <c r="I88" s="14"/>
      <c r="J88" s="14"/>
      <c r="K88" s="14"/>
      <c r="L88" s="15"/>
      <c r="M88" s="14"/>
      <c r="N88" s="14"/>
      <c r="O88" s="14"/>
      <c r="P88" s="14"/>
      <c r="Q88" s="14"/>
      <c r="R88" s="14"/>
      <c r="S88" s="14"/>
      <c r="T88" s="14"/>
      <c r="U88" s="18"/>
      <c r="V88" s="3"/>
      <c r="W88" s="3"/>
      <c r="X88" s="3"/>
      <c r="Y88" s="3"/>
      <c r="Z88" s="160"/>
    </row>
    <row r="89" spans="1:26" ht="18.75" x14ac:dyDescent="0.25">
      <c r="A89" s="18"/>
      <c r="B89" s="18"/>
      <c r="C89" s="18"/>
      <c r="D89" s="13"/>
      <c r="E89" s="13"/>
      <c r="F89" s="18"/>
      <c r="G89" s="15"/>
      <c r="H89" s="14"/>
      <c r="I89" s="14"/>
      <c r="J89" s="14"/>
      <c r="K89" s="14"/>
      <c r="L89" s="15"/>
      <c r="M89" s="14"/>
      <c r="N89" s="14"/>
      <c r="O89" s="14"/>
      <c r="P89" s="14"/>
      <c r="Q89" s="14"/>
      <c r="R89" s="14"/>
      <c r="S89" s="14"/>
      <c r="T89" s="14"/>
      <c r="U89" s="18"/>
      <c r="V89" s="3"/>
      <c r="W89" s="3"/>
      <c r="X89" s="3"/>
      <c r="Y89" s="3"/>
      <c r="Z89" s="160"/>
    </row>
    <row r="90" spans="1:26" ht="18.75" x14ac:dyDescent="0.25">
      <c r="A90" s="18"/>
      <c r="B90" s="18"/>
      <c r="C90" s="18"/>
      <c r="D90" s="13"/>
      <c r="E90" s="13"/>
      <c r="F90" s="18"/>
      <c r="G90" s="15"/>
      <c r="H90" s="14"/>
      <c r="I90" s="14"/>
      <c r="J90" s="14"/>
      <c r="K90" s="14"/>
      <c r="L90" s="15"/>
      <c r="M90" s="14"/>
      <c r="N90" s="14"/>
      <c r="O90" s="14"/>
      <c r="P90" s="14"/>
      <c r="Q90" s="14"/>
      <c r="R90" s="14"/>
      <c r="S90" s="14"/>
      <c r="T90" s="14"/>
      <c r="U90" s="18"/>
      <c r="V90" s="3"/>
      <c r="W90" s="3"/>
      <c r="X90" s="3"/>
      <c r="Y90" s="3"/>
      <c r="Z90" s="160"/>
    </row>
    <row r="91" spans="1:26" ht="18.75" x14ac:dyDescent="0.25">
      <c r="A91" s="18"/>
      <c r="B91" s="18"/>
      <c r="C91" s="18"/>
      <c r="D91" s="13"/>
      <c r="E91" s="13"/>
      <c r="F91" s="18"/>
      <c r="G91" s="15"/>
      <c r="H91" s="14"/>
      <c r="I91" s="14"/>
      <c r="J91" s="14"/>
      <c r="K91" s="14"/>
      <c r="L91" s="15"/>
      <c r="M91" s="14"/>
      <c r="N91" s="14"/>
      <c r="O91" s="14"/>
      <c r="P91" s="14"/>
      <c r="Q91" s="14"/>
      <c r="R91" s="14"/>
      <c r="S91" s="14"/>
      <c r="T91" s="14"/>
      <c r="U91" s="18"/>
      <c r="V91" s="3"/>
      <c r="W91" s="3"/>
      <c r="X91" s="3"/>
      <c r="Y91" s="3"/>
      <c r="Z91" s="160"/>
    </row>
    <row r="92" spans="1:26" ht="18.75" x14ac:dyDescent="0.25">
      <c r="A92" s="18"/>
      <c r="B92" s="18"/>
      <c r="C92" s="18"/>
      <c r="D92" s="13"/>
      <c r="E92" s="13"/>
      <c r="F92" s="18"/>
      <c r="G92" s="15"/>
      <c r="H92" s="14"/>
      <c r="I92" s="14"/>
      <c r="J92" s="14"/>
      <c r="K92" s="14"/>
      <c r="L92" s="15"/>
      <c r="M92" s="14"/>
      <c r="N92" s="14"/>
      <c r="O92" s="14"/>
      <c r="P92" s="14"/>
      <c r="Q92" s="14"/>
      <c r="R92" s="14"/>
      <c r="S92" s="14"/>
      <c r="T92" s="14"/>
      <c r="U92" s="18"/>
      <c r="V92" s="3"/>
      <c r="W92" s="3"/>
      <c r="X92" s="3"/>
      <c r="Y92" s="3"/>
      <c r="Z92" s="160"/>
    </row>
    <row r="93" spans="1:26" ht="18.75" x14ac:dyDescent="0.25">
      <c r="A93" s="18"/>
      <c r="B93" s="18"/>
      <c r="C93" s="18"/>
      <c r="D93" s="13"/>
      <c r="E93" s="13"/>
      <c r="F93" s="18"/>
      <c r="G93" s="15"/>
      <c r="H93" s="14"/>
      <c r="I93" s="14"/>
      <c r="J93" s="14"/>
      <c r="K93" s="14"/>
      <c r="L93" s="15"/>
      <c r="M93" s="14"/>
      <c r="N93" s="14"/>
      <c r="O93" s="14"/>
      <c r="P93" s="14"/>
      <c r="Q93" s="14"/>
      <c r="R93" s="14"/>
      <c r="S93" s="14"/>
      <c r="T93" s="14"/>
      <c r="U93" s="18"/>
      <c r="V93" s="3"/>
      <c r="W93" s="3"/>
      <c r="X93" s="3"/>
      <c r="Y93" s="3"/>
      <c r="Z93" s="160"/>
    </row>
    <row r="94" spans="1:26" ht="18.75" x14ac:dyDescent="0.25">
      <c r="A94" s="18"/>
      <c r="B94" s="18"/>
      <c r="C94" s="18"/>
      <c r="D94" s="13"/>
      <c r="E94" s="13"/>
      <c r="F94" s="18"/>
      <c r="G94" s="15"/>
      <c r="H94" s="14"/>
      <c r="I94" s="14"/>
      <c r="J94" s="14"/>
      <c r="K94" s="14"/>
      <c r="L94" s="15"/>
      <c r="M94" s="14"/>
      <c r="N94" s="14"/>
      <c r="O94" s="14"/>
      <c r="P94" s="14"/>
      <c r="Q94" s="14"/>
      <c r="R94" s="14"/>
      <c r="S94" s="14"/>
      <c r="T94" s="14"/>
      <c r="U94" s="18"/>
      <c r="V94" s="3"/>
      <c r="W94" s="3"/>
      <c r="X94" s="3"/>
      <c r="Y94" s="3"/>
      <c r="Z94" s="160"/>
    </row>
    <row r="96" spans="1:26" x14ac:dyDescent="0.25">
      <c r="F96" s="48" t="s">
        <v>37</v>
      </c>
    </row>
  </sheetData>
  <sortState xmlns:xlrd2="http://schemas.microsoft.com/office/spreadsheetml/2017/richdata2" ref="A13:E80">
    <sortCondition ref="A13"/>
  </sortState>
  <mergeCells count="9">
    <mergeCell ref="A13:D13"/>
    <mergeCell ref="A5:J5"/>
    <mergeCell ref="B10:F10"/>
    <mergeCell ref="A1:D1"/>
    <mergeCell ref="A2:D2"/>
    <mergeCell ref="A3:D3"/>
    <mergeCell ref="A7:F7"/>
    <mergeCell ref="B6:F6"/>
    <mergeCell ref="B8:F8"/>
  </mergeCells>
  <dataValidations count="1">
    <dataValidation type="list" allowBlank="1" showInputMessage="1" showErrorMessage="1" sqref="G15:G94" xr:uid="{00000000-0002-0000-0000-000000000000}">
      <formula1>$L$16:$L$18</formula1>
    </dataValidation>
  </dataValidations>
  <printOptions horizontalCentered="1"/>
  <pageMargins left="0.70866141732283472" right="0.70866141732283472" top="0.74803149606299213" bottom="0.74803149606299213" header="0.31496062992125984" footer="0.31496062992125984"/>
  <pageSetup paperSize="9" scale="61" orientation="portrait" verticalDpi="1200" r:id="rId1"/>
  <headerFooter>
    <oddFooter>&amp;L&amp;P&amp;Rمسابقة الدكتوراه</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8"/>
  <sheetViews>
    <sheetView rightToLeft="1" topLeftCell="A11" zoomScale="70" zoomScaleNormal="70" zoomScaleSheetLayoutView="115" workbookViewId="0">
      <selection activeCell="L15" sqref="L15"/>
    </sheetView>
  </sheetViews>
  <sheetFormatPr defaultColWidth="11" defaultRowHeight="15" x14ac:dyDescent="0.25"/>
  <cols>
    <col min="1" max="1" width="5.85546875" style="12" customWidth="1"/>
    <col min="2" max="2" width="17.28515625" style="1" customWidth="1"/>
    <col min="3" max="3" width="17.5703125" style="1" customWidth="1"/>
    <col min="4" max="4" width="18.140625" style="1" customWidth="1"/>
    <col min="5" max="5" width="24.140625" style="1" customWidth="1"/>
    <col min="6" max="6" width="12.140625" style="1" customWidth="1"/>
    <col min="7" max="7" width="16.140625" style="92" hidden="1" customWidth="1"/>
    <col min="8" max="8" width="10.7109375" style="92" hidden="1" customWidth="1"/>
    <col min="9" max="10" width="10.140625" style="92" hidden="1" customWidth="1"/>
    <col min="11" max="11" width="14.140625" style="92" hidden="1" customWidth="1"/>
    <col min="12" max="12" width="18.28515625" style="1" customWidth="1"/>
    <col min="13" max="13" width="17.42578125" style="12" customWidth="1"/>
    <col min="14" max="14" width="9.7109375" style="156" customWidth="1"/>
    <col min="15" max="15" width="20.85546875" style="156" customWidth="1"/>
    <col min="16" max="16" width="10.5703125" style="156" hidden="1" customWidth="1"/>
    <col min="17" max="17" width="10.28515625" style="156" hidden="1" customWidth="1"/>
    <col min="18" max="18" width="9.140625" style="156" hidden="1" customWidth="1"/>
    <col min="19" max="19" width="7.7109375" style="156" hidden="1" customWidth="1"/>
    <col min="20" max="20" width="28.85546875" style="156" hidden="1" customWidth="1"/>
    <col min="21" max="21" width="9" style="156" customWidth="1"/>
    <col min="22" max="22" width="16.85546875" style="1" customWidth="1"/>
    <col min="23" max="23" width="11" style="1" customWidth="1"/>
    <col min="24" max="24" width="13" style="1" customWidth="1"/>
    <col min="25" max="25" width="3.42578125" style="1" customWidth="1"/>
    <col min="26" max="26" width="11" style="1"/>
    <col min="27" max="27" width="2.42578125" style="1" customWidth="1"/>
    <col min="28" max="16384" width="11" style="1"/>
  </cols>
  <sheetData>
    <row r="1" spans="1:24" customFormat="1" ht="22.5" customHeight="1" x14ac:dyDescent="0.25">
      <c r="A1" s="22" t="s">
        <v>10</v>
      </c>
      <c r="B1" s="22"/>
      <c r="C1" s="22"/>
      <c r="D1" s="22"/>
      <c r="E1" s="22"/>
      <c r="F1" s="22"/>
      <c r="G1" s="84"/>
      <c r="H1" s="84"/>
      <c r="I1" s="84"/>
      <c r="J1" s="84"/>
      <c r="K1" s="84"/>
      <c r="L1" s="22"/>
      <c r="M1" s="28"/>
      <c r="N1" s="28"/>
      <c r="O1" s="28"/>
      <c r="P1" s="28"/>
      <c r="Q1" s="28"/>
      <c r="R1" s="28"/>
      <c r="S1" s="28"/>
      <c r="T1" s="28"/>
      <c r="U1" s="28"/>
      <c r="V1" s="22"/>
      <c r="W1" s="22"/>
      <c r="X1" s="22"/>
    </row>
    <row r="2" spans="1:24" customFormat="1" ht="22.5" customHeight="1" x14ac:dyDescent="0.25">
      <c r="A2" s="22" t="s">
        <v>11</v>
      </c>
      <c r="B2" s="22"/>
      <c r="C2" s="22"/>
      <c r="D2" s="22"/>
      <c r="E2" s="22"/>
      <c r="F2" s="22"/>
      <c r="G2" s="84"/>
      <c r="H2" s="84"/>
      <c r="I2" s="84"/>
      <c r="J2" s="84"/>
      <c r="K2" s="84"/>
      <c r="L2" s="22"/>
      <c r="M2" s="28"/>
      <c r="N2" s="28"/>
      <c r="O2" s="28"/>
      <c r="P2" s="28"/>
      <c r="Q2" s="28"/>
      <c r="R2" s="28"/>
      <c r="S2" s="28"/>
      <c r="T2" s="28"/>
      <c r="U2" s="28"/>
      <c r="V2" s="22"/>
      <c r="W2" s="22"/>
      <c r="X2" s="22"/>
    </row>
    <row r="3" spans="1:24" customFormat="1" ht="22.5" customHeight="1" x14ac:dyDescent="0.25">
      <c r="A3" s="23" t="s">
        <v>12</v>
      </c>
      <c r="B3" s="23"/>
      <c r="C3" s="23"/>
      <c r="D3" s="23"/>
      <c r="E3" s="23"/>
      <c r="F3" s="23"/>
      <c r="G3" s="85"/>
      <c r="H3" s="85"/>
      <c r="I3" s="85"/>
      <c r="J3" s="85"/>
      <c r="K3" s="85"/>
      <c r="L3" s="23"/>
      <c r="M3" s="30"/>
      <c r="N3" s="30"/>
      <c r="O3" s="30"/>
      <c r="P3" s="30"/>
      <c r="Q3" s="30"/>
      <c r="R3" s="30"/>
      <c r="S3" s="30"/>
      <c r="T3" s="30"/>
      <c r="U3" s="30"/>
      <c r="V3" s="23"/>
      <c r="W3" s="23"/>
      <c r="X3" s="23"/>
    </row>
    <row r="4" spans="1:24" customFormat="1" ht="22.5" customHeight="1" x14ac:dyDescent="0.25">
      <c r="A4" s="23" t="s">
        <v>15</v>
      </c>
      <c r="B4" s="23"/>
      <c r="C4" s="23"/>
      <c r="D4" s="23"/>
      <c r="E4" s="23"/>
      <c r="F4" s="23"/>
      <c r="G4" s="85"/>
      <c r="H4" s="85"/>
      <c r="I4" s="85"/>
      <c r="J4" s="85"/>
      <c r="K4" s="85"/>
      <c r="L4" s="23"/>
      <c r="M4" s="30"/>
      <c r="N4" s="30"/>
      <c r="O4" s="30"/>
      <c r="P4" s="30"/>
      <c r="Q4" s="30"/>
      <c r="R4" s="30"/>
      <c r="S4" s="30"/>
      <c r="T4" s="30"/>
      <c r="U4" s="30"/>
      <c r="V4" s="23"/>
      <c r="W4" s="23"/>
      <c r="X4" s="23"/>
    </row>
    <row r="5" spans="1:24" customFormat="1" ht="22.5" customHeight="1" x14ac:dyDescent="0.25">
      <c r="A5" s="165"/>
      <c r="B5" s="165"/>
      <c r="C5" s="165"/>
      <c r="D5" s="165"/>
      <c r="E5" s="165"/>
      <c r="F5" s="165"/>
      <c r="G5" s="165"/>
      <c r="H5" s="165"/>
      <c r="I5" s="165"/>
      <c r="J5" s="165"/>
      <c r="K5" s="165"/>
      <c r="L5" s="165"/>
      <c r="M5" s="165"/>
      <c r="N5" s="29"/>
      <c r="O5" s="29"/>
      <c r="P5" s="29"/>
      <c r="Q5" s="29"/>
      <c r="R5" s="29"/>
      <c r="S5" s="29"/>
      <c r="T5" s="29"/>
      <c r="U5" s="29"/>
    </row>
    <row r="6" spans="1:24" customFormat="1" ht="22.5" customHeight="1" x14ac:dyDescent="0.25">
      <c r="A6" s="12"/>
      <c r="B6" s="169" t="s">
        <v>13</v>
      </c>
      <c r="C6" s="169"/>
      <c r="D6" s="169"/>
      <c r="E6" s="169"/>
      <c r="F6" s="169"/>
      <c r="G6" s="169"/>
      <c r="H6" s="169"/>
      <c r="I6" s="169"/>
      <c r="J6" s="169"/>
      <c r="K6" s="169"/>
      <c r="L6" s="169"/>
      <c r="M6" s="32"/>
      <c r="N6" s="32"/>
      <c r="O6" s="32"/>
      <c r="P6" s="32"/>
      <c r="Q6" s="32"/>
      <c r="R6" s="32"/>
      <c r="S6" s="32"/>
      <c r="T6" s="32"/>
      <c r="U6" s="32"/>
      <c r="V6" s="25"/>
      <c r="W6" s="25"/>
      <c r="X6" s="25"/>
    </row>
    <row r="7" spans="1:24" customFormat="1" ht="22.5" customHeight="1" x14ac:dyDescent="0.25">
      <c r="A7" s="168" t="s">
        <v>14</v>
      </c>
      <c r="B7" s="168"/>
      <c r="C7" s="168"/>
      <c r="D7" s="168"/>
      <c r="E7" s="168"/>
      <c r="F7" s="168"/>
      <c r="G7" s="168"/>
      <c r="H7" s="168"/>
      <c r="I7" s="168"/>
      <c r="J7" s="168"/>
      <c r="K7" s="168"/>
      <c r="L7" s="168"/>
      <c r="M7" s="33"/>
      <c r="N7" s="33"/>
      <c r="O7" s="33"/>
      <c r="P7" s="33"/>
      <c r="Q7" s="33"/>
      <c r="R7" s="33"/>
      <c r="S7" s="33"/>
      <c r="T7" s="33"/>
      <c r="U7" s="33"/>
      <c r="V7" s="26"/>
      <c r="W7" s="26"/>
      <c r="X7" s="26"/>
    </row>
    <row r="8" spans="1:24" customFormat="1" ht="22.5" customHeight="1" x14ac:dyDescent="0.25">
      <c r="A8" s="12"/>
      <c r="B8" s="44" t="s">
        <v>16</v>
      </c>
      <c r="C8" s="44"/>
      <c r="D8" s="44"/>
      <c r="E8" s="44"/>
      <c r="F8" s="44"/>
      <c r="G8" s="84"/>
      <c r="H8" s="84"/>
      <c r="I8" s="84"/>
      <c r="J8" s="84"/>
      <c r="K8" s="84"/>
      <c r="L8" s="44"/>
      <c r="M8" s="28"/>
      <c r="N8" s="28"/>
      <c r="O8" s="28"/>
      <c r="P8" s="28"/>
      <c r="Q8" s="28"/>
      <c r="R8" s="28"/>
      <c r="S8" s="28"/>
      <c r="T8" s="28"/>
      <c r="U8" s="28"/>
      <c r="V8" s="44"/>
      <c r="W8" s="44"/>
      <c r="X8" s="44"/>
    </row>
    <row r="9" spans="1:24" customFormat="1" ht="9" customHeight="1" x14ac:dyDescent="0.25">
      <c r="A9" s="11"/>
      <c r="B9" s="11"/>
      <c r="C9" s="11"/>
      <c r="D9" s="11"/>
      <c r="E9" s="11"/>
      <c r="F9" s="11"/>
      <c r="G9" s="86"/>
      <c r="H9" s="86"/>
      <c r="I9" s="86"/>
      <c r="J9" s="86"/>
      <c r="K9" s="86"/>
      <c r="L9" s="11"/>
      <c r="M9" s="29"/>
      <c r="N9" s="29"/>
      <c r="O9" s="29"/>
      <c r="P9" s="29"/>
      <c r="Q9" s="29"/>
      <c r="R9" s="29"/>
      <c r="S9" s="29"/>
      <c r="T9" s="29"/>
      <c r="U9" s="29"/>
    </row>
    <row r="10" spans="1:24" customFormat="1" ht="22.5" customHeight="1" x14ac:dyDescent="0.25">
      <c r="A10" s="166" t="s">
        <v>28</v>
      </c>
      <c r="B10" s="166"/>
      <c r="C10" s="166"/>
      <c r="D10" s="166"/>
      <c r="E10" s="166"/>
      <c r="F10" s="166"/>
      <c r="G10" s="166"/>
      <c r="H10" s="166"/>
      <c r="I10" s="166"/>
      <c r="J10" s="166"/>
      <c r="K10" s="166"/>
      <c r="L10" s="166"/>
      <c r="M10" s="35"/>
      <c r="N10" s="35"/>
      <c r="O10" s="35"/>
      <c r="P10" s="35"/>
      <c r="Q10" s="35"/>
      <c r="R10" s="35"/>
      <c r="S10" s="35"/>
      <c r="T10" s="35"/>
      <c r="U10" s="35"/>
      <c r="V10" s="27"/>
      <c r="W10" s="27"/>
      <c r="X10" s="27"/>
    </row>
    <row r="11" spans="1:24" ht="16.5" customHeight="1" thickBot="1" x14ac:dyDescent="0.3">
      <c r="A11" s="172"/>
      <c r="B11" s="172"/>
      <c r="C11" s="172"/>
      <c r="D11" s="172"/>
      <c r="E11" s="172"/>
      <c r="F11" s="172"/>
      <c r="G11" s="172"/>
      <c r="H11" s="172"/>
      <c r="I11" s="172"/>
      <c r="J11" s="172"/>
      <c r="K11" s="172"/>
      <c r="L11" s="172"/>
      <c r="M11" s="172"/>
      <c r="N11" s="172"/>
      <c r="O11" s="172"/>
      <c r="P11" s="172"/>
      <c r="Q11" s="172"/>
      <c r="R11" s="172"/>
      <c r="S11" s="172"/>
      <c r="T11" s="172"/>
      <c r="U11" s="172"/>
      <c r="V11" s="172"/>
      <c r="W11" s="172"/>
      <c r="X11" s="172"/>
    </row>
    <row r="12" spans="1:24" ht="23.25" x14ac:dyDescent="0.25">
      <c r="A12" s="171"/>
      <c r="B12" s="41" t="s">
        <v>8</v>
      </c>
      <c r="C12" s="173" t="s">
        <v>0</v>
      </c>
      <c r="D12" s="174"/>
      <c r="E12" s="174"/>
      <c r="F12" s="174"/>
      <c r="G12" s="174"/>
      <c r="H12" s="174"/>
      <c r="I12" s="174"/>
      <c r="J12" s="174"/>
      <c r="K12" s="174"/>
      <c r="L12" s="175"/>
    </row>
    <row r="13" spans="1:24" ht="22.5" customHeight="1" thickBot="1" x14ac:dyDescent="0.3">
      <c r="A13" s="164"/>
      <c r="B13" s="42"/>
      <c r="C13" s="173" t="s">
        <v>17</v>
      </c>
      <c r="D13" s="174"/>
      <c r="E13" s="174"/>
      <c r="F13" s="174"/>
      <c r="G13" s="174"/>
      <c r="H13" s="174"/>
      <c r="I13" s="174"/>
      <c r="J13" s="174"/>
      <c r="K13" s="174"/>
      <c r="L13" s="175"/>
    </row>
    <row r="14" spans="1:24" ht="24" customHeight="1" x14ac:dyDescent="0.25">
      <c r="A14" s="8" t="s">
        <v>41</v>
      </c>
      <c r="B14" s="52" t="s">
        <v>40</v>
      </c>
      <c r="C14" s="37" t="s">
        <v>1</v>
      </c>
      <c r="D14" s="37" t="s">
        <v>9</v>
      </c>
      <c r="E14" s="38" t="s">
        <v>49</v>
      </c>
      <c r="F14" s="37" t="s">
        <v>2</v>
      </c>
      <c r="G14" s="88" t="s">
        <v>50</v>
      </c>
      <c r="H14" s="89" t="s">
        <v>52</v>
      </c>
      <c r="I14" s="89" t="s">
        <v>53</v>
      </c>
      <c r="J14" s="89" t="s">
        <v>90</v>
      </c>
      <c r="K14" s="89" t="s">
        <v>51</v>
      </c>
      <c r="L14" s="45" t="s">
        <v>3</v>
      </c>
      <c r="P14" s="158" t="s">
        <v>91</v>
      </c>
      <c r="Q14" s="158" t="s">
        <v>92</v>
      </c>
      <c r="R14" s="158" t="s">
        <v>93</v>
      </c>
      <c r="S14" s="158" t="s">
        <v>90</v>
      </c>
    </row>
    <row r="15" spans="1:24" ht="22.5" customHeight="1" x14ac:dyDescent="0.25">
      <c r="A15" s="21">
        <v>1</v>
      </c>
      <c r="B15" s="7" t="str">
        <f>'القائمة الإسمية للمترشحين'!F15</f>
        <v>G201</v>
      </c>
      <c r="C15" s="2">
        <v>0</v>
      </c>
      <c r="D15" s="2">
        <v>0</v>
      </c>
      <c r="E15" s="4" t="str">
        <f>IF(ABS(C15-D15)&gt;=3,"يتطلب التصحيح الثالث"," ")</f>
        <v xml:space="preserve"> </v>
      </c>
      <c r="F15" s="2">
        <v>0</v>
      </c>
      <c r="G15" s="90">
        <f>IF(E15=" ",(C15+D15)/2," ")</f>
        <v>0</v>
      </c>
      <c r="H15" s="90">
        <f>ABS(C15-F15)</f>
        <v>0</v>
      </c>
      <c r="I15" s="90">
        <f>ABS(D15-F15)</f>
        <v>0</v>
      </c>
      <c r="J15" s="90">
        <f>ABS(C15-D15)</f>
        <v>0</v>
      </c>
      <c r="K15" s="91" t="str">
        <f t="shared" ref="K15:K46" si="0">IF(E15=" "," ",IF(H15&lt;I15,(F15+C15)/2,(F15+D15)/2))</f>
        <v xml:space="preserve"> </v>
      </c>
      <c r="L15" s="46">
        <f>MAX(Q15:S15)</f>
        <v>0</v>
      </c>
      <c r="P15" s="161">
        <f>MIN(H15:J15)</f>
        <v>0</v>
      </c>
      <c r="Q15" s="156">
        <f>IF(P15=H15,(F15+C15)/2,0)</f>
        <v>0</v>
      </c>
      <c r="R15" s="156">
        <f>IF(P15=I15,(F15+D15)/2,0)</f>
        <v>0</v>
      </c>
      <c r="S15" s="156">
        <f>IF(P15=J15,(D15+C15)/2,0)</f>
        <v>0</v>
      </c>
    </row>
    <row r="16" spans="1:24" ht="18.75" x14ac:dyDescent="0.25">
      <c r="A16" s="21">
        <v>2</v>
      </c>
      <c r="B16" s="7" t="str">
        <f>'القائمة الإسمية للمترشحين'!F16</f>
        <v>G202</v>
      </c>
      <c r="C16" s="2">
        <v>0</v>
      </c>
      <c r="D16" s="2">
        <v>0</v>
      </c>
      <c r="E16" s="4" t="str">
        <f t="shared" ref="E16:E65" si="1">IF(ABS(C16-D16)&gt;=3,"يتطلب التصحيح الثالث"," ")</f>
        <v xml:space="preserve"> </v>
      </c>
      <c r="F16" s="2">
        <v>0</v>
      </c>
      <c r="G16" s="90">
        <f t="shared" ref="G16:G65" si="2">IF(E16=" ",(C16+D16)/2," ")</f>
        <v>0</v>
      </c>
      <c r="H16" s="90">
        <f t="shared" ref="H16:H65" si="3">ABS(C16-F16)</f>
        <v>0</v>
      </c>
      <c r="I16" s="90">
        <f t="shared" ref="I16:I65" si="4">ABS(D16-F16)</f>
        <v>0</v>
      </c>
      <c r="J16" s="90">
        <f t="shared" ref="J16:J65" si="5">ABS(C16-D16)</f>
        <v>0</v>
      </c>
      <c r="K16" s="91" t="str">
        <f t="shared" si="0"/>
        <v xml:space="preserve"> </v>
      </c>
      <c r="L16" s="46">
        <f t="shared" ref="L16:L65" si="6">MAX(Q16:S16)</f>
        <v>0</v>
      </c>
      <c r="M16" s="47" t="s">
        <v>19</v>
      </c>
      <c r="P16" s="161">
        <f t="shared" ref="P16:P65" si="7">MIN(H16:J16)</f>
        <v>0</v>
      </c>
      <c r="Q16" s="158">
        <f t="shared" ref="Q16:Q65" si="8">IF(P16=H16,(F16+C16)/2,0)</f>
        <v>0</v>
      </c>
      <c r="R16" s="158">
        <f t="shared" ref="R16:R65" si="9">IF(P16=I16,(F16+D16)/2,0)</f>
        <v>0</v>
      </c>
      <c r="S16" s="158">
        <f t="shared" ref="S16:S65" si="10">IF(P16=J16,(D16+C16)/2,0)</f>
        <v>0</v>
      </c>
    </row>
    <row r="17" spans="1:19" ht="18.75" x14ac:dyDescent="0.25">
      <c r="A17" s="21">
        <v>3</v>
      </c>
      <c r="B17" s="7" t="str">
        <f>'القائمة الإسمية للمترشحين'!F17</f>
        <v>G203</v>
      </c>
      <c r="C17" s="2">
        <v>0</v>
      </c>
      <c r="D17" s="2">
        <v>0</v>
      </c>
      <c r="E17" s="4" t="str">
        <f t="shared" si="1"/>
        <v xml:space="preserve"> </v>
      </c>
      <c r="F17" s="2">
        <v>0</v>
      </c>
      <c r="G17" s="90">
        <f t="shared" si="2"/>
        <v>0</v>
      </c>
      <c r="H17" s="90">
        <f t="shared" si="3"/>
        <v>0</v>
      </c>
      <c r="I17" s="90">
        <f t="shared" si="4"/>
        <v>0</v>
      </c>
      <c r="J17" s="90">
        <f t="shared" si="5"/>
        <v>0</v>
      </c>
      <c r="K17" s="91" t="str">
        <f t="shared" si="0"/>
        <v xml:space="preserve"> </v>
      </c>
      <c r="L17" s="46">
        <f t="shared" si="6"/>
        <v>0</v>
      </c>
      <c r="P17" s="161">
        <f t="shared" si="7"/>
        <v>0</v>
      </c>
      <c r="Q17" s="158">
        <f t="shared" si="8"/>
        <v>0</v>
      </c>
      <c r="R17" s="158">
        <f t="shared" si="9"/>
        <v>0</v>
      </c>
      <c r="S17" s="158">
        <f t="shared" si="10"/>
        <v>0</v>
      </c>
    </row>
    <row r="18" spans="1:19" ht="18.75" x14ac:dyDescent="0.25">
      <c r="A18" s="21">
        <v>4</v>
      </c>
      <c r="B18" s="7">
        <f>'القائمة الإسمية للمترشحين'!F18</f>
        <v>0</v>
      </c>
      <c r="C18" s="2">
        <v>0</v>
      </c>
      <c r="D18" s="2">
        <v>0</v>
      </c>
      <c r="E18" s="4" t="str">
        <f t="shared" si="1"/>
        <v xml:space="preserve"> </v>
      </c>
      <c r="F18" s="2">
        <v>0</v>
      </c>
      <c r="G18" s="90">
        <f t="shared" si="2"/>
        <v>0</v>
      </c>
      <c r="H18" s="90">
        <f t="shared" si="3"/>
        <v>0</v>
      </c>
      <c r="I18" s="90">
        <f t="shared" si="4"/>
        <v>0</v>
      </c>
      <c r="J18" s="90">
        <f t="shared" si="5"/>
        <v>0</v>
      </c>
      <c r="K18" s="91" t="str">
        <f t="shared" si="0"/>
        <v xml:space="preserve"> </v>
      </c>
      <c r="L18" s="46">
        <f t="shared" si="6"/>
        <v>0</v>
      </c>
      <c r="P18" s="161">
        <f t="shared" si="7"/>
        <v>0</v>
      </c>
      <c r="Q18" s="158">
        <f t="shared" si="8"/>
        <v>0</v>
      </c>
      <c r="R18" s="158">
        <f t="shared" si="9"/>
        <v>0</v>
      </c>
      <c r="S18" s="158">
        <f t="shared" si="10"/>
        <v>0</v>
      </c>
    </row>
    <row r="19" spans="1:19" ht="18.75" x14ac:dyDescent="0.25">
      <c r="A19" s="21">
        <v>5</v>
      </c>
      <c r="B19" s="7">
        <f>'القائمة الإسمية للمترشحين'!F19</f>
        <v>0</v>
      </c>
      <c r="C19" s="2">
        <v>0</v>
      </c>
      <c r="D19" s="2">
        <v>0</v>
      </c>
      <c r="E19" s="4" t="str">
        <f t="shared" si="1"/>
        <v xml:space="preserve"> </v>
      </c>
      <c r="F19" s="2">
        <v>0</v>
      </c>
      <c r="G19" s="90">
        <f t="shared" si="2"/>
        <v>0</v>
      </c>
      <c r="H19" s="90">
        <f t="shared" si="3"/>
        <v>0</v>
      </c>
      <c r="I19" s="90">
        <f t="shared" si="4"/>
        <v>0</v>
      </c>
      <c r="J19" s="90">
        <f t="shared" si="5"/>
        <v>0</v>
      </c>
      <c r="K19" s="91" t="str">
        <f t="shared" si="0"/>
        <v xml:space="preserve"> </v>
      </c>
      <c r="L19" s="46">
        <f t="shared" si="6"/>
        <v>0</v>
      </c>
      <c r="P19" s="161">
        <f t="shared" si="7"/>
        <v>0</v>
      </c>
      <c r="Q19" s="158">
        <f t="shared" si="8"/>
        <v>0</v>
      </c>
      <c r="R19" s="158">
        <f t="shared" si="9"/>
        <v>0</v>
      </c>
      <c r="S19" s="158">
        <f t="shared" si="10"/>
        <v>0</v>
      </c>
    </row>
    <row r="20" spans="1:19" ht="18.75" x14ac:dyDescent="0.25">
      <c r="A20" s="21">
        <v>6</v>
      </c>
      <c r="B20" s="7">
        <f>'القائمة الإسمية للمترشحين'!F20</f>
        <v>0</v>
      </c>
      <c r="C20" s="2">
        <v>0</v>
      </c>
      <c r="D20" s="2">
        <v>0</v>
      </c>
      <c r="E20" s="4" t="str">
        <f t="shared" si="1"/>
        <v xml:space="preserve"> </v>
      </c>
      <c r="F20" s="2">
        <v>0</v>
      </c>
      <c r="G20" s="90">
        <f t="shared" si="2"/>
        <v>0</v>
      </c>
      <c r="H20" s="90">
        <f t="shared" si="3"/>
        <v>0</v>
      </c>
      <c r="I20" s="90">
        <f t="shared" si="4"/>
        <v>0</v>
      </c>
      <c r="J20" s="90">
        <f t="shared" si="5"/>
        <v>0</v>
      </c>
      <c r="K20" s="91" t="str">
        <f t="shared" si="0"/>
        <v xml:space="preserve"> </v>
      </c>
      <c r="L20" s="46">
        <f t="shared" si="6"/>
        <v>0</v>
      </c>
      <c r="P20" s="161">
        <f t="shared" si="7"/>
        <v>0</v>
      </c>
      <c r="Q20" s="158">
        <f t="shared" si="8"/>
        <v>0</v>
      </c>
      <c r="R20" s="158">
        <f t="shared" si="9"/>
        <v>0</v>
      </c>
      <c r="S20" s="158">
        <f t="shared" si="10"/>
        <v>0</v>
      </c>
    </row>
    <row r="21" spans="1:19" ht="18.75" x14ac:dyDescent="0.25">
      <c r="A21" s="21">
        <v>7</v>
      </c>
      <c r="B21" s="7">
        <f>'القائمة الإسمية للمترشحين'!F21</f>
        <v>0</v>
      </c>
      <c r="C21" s="2">
        <v>0</v>
      </c>
      <c r="D21" s="2">
        <v>0</v>
      </c>
      <c r="E21" s="4" t="str">
        <f t="shared" si="1"/>
        <v xml:space="preserve"> </v>
      </c>
      <c r="F21" s="2">
        <v>0</v>
      </c>
      <c r="G21" s="90">
        <f t="shared" si="2"/>
        <v>0</v>
      </c>
      <c r="H21" s="90">
        <f t="shared" si="3"/>
        <v>0</v>
      </c>
      <c r="I21" s="90">
        <f t="shared" si="4"/>
        <v>0</v>
      </c>
      <c r="J21" s="90">
        <f t="shared" si="5"/>
        <v>0</v>
      </c>
      <c r="K21" s="91" t="str">
        <f t="shared" si="0"/>
        <v xml:space="preserve"> </v>
      </c>
      <c r="L21" s="46">
        <f t="shared" si="6"/>
        <v>0</v>
      </c>
      <c r="P21" s="161">
        <f t="shared" si="7"/>
        <v>0</v>
      </c>
      <c r="Q21" s="158">
        <f t="shared" si="8"/>
        <v>0</v>
      </c>
      <c r="R21" s="158">
        <f t="shared" si="9"/>
        <v>0</v>
      </c>
      <c r="S21" s="158">
        <f t="shared" si="10"/>
        <v>0</v>
      </c>
    </row>
    <row r="22" spans="1:19" ht="18.75" x14ac:dyDescent="0.25">
      <c r="A22" s="21">
        <v>8</v>
      </c>
      <c r="B22" s="7">
        <f>'القائمة الإسمية للمترشحين'!F22</f>
        <v>0</v>
      </c>
      <c r="C22" s="2">
        <v>0</v>
      </c>
      <c r="D22" s="2">
        <v>0</v>
      </c>
      <c r="E22" s="4" t="str">
        <f t="shared" si="1"/>
        <v xml:space="preserve"> </v>
      </c>
      <c r="F22" s="2">
        <v>0</v>
      </c>
      <c r="G22" s="90">
        <f t="shared" si="2"/>
        <v>0</v>
      </c>
      <c r="H22" s="90">
        <f t="shared" si="3"/>
        <v>0</v>
      </c>
      <c r="I22" s="90">
        <f t="shared" si="4"/>
        <v>0</v>
      </c>
      <c r="J22" s="90">
        <f t="shared" si="5"/>
        <v>0</v>
      </c>
      <c r="K22" s="91" t="str">
        <f t="shared" si="0"/>
        <v xml:space="preserve"> </v>
      </c>
      <c r="L22" s="46">
        <f t="shared" si="6"/>
        <v>0</v>
      </c>
      <c r="P22" s="161">
        <f t="shared" si="7"/>
        <v>0</v>
      </c>
      <c r="Q22" s="158">
        <f t="shared" si="8"/>
        <v>0</v>
      </c>
      <c r="R22" s="158">
        <f t="shared" si="9"/>
        <v>0</v>
      </c>
      <c r="S22" s="158">
        <f t="shared" si="10"/>
        <v>0</v>
      </c>
    </row>
    <row r="23" spans="1:19" ht="18.75" x14ac:dyDescent="0.25">
      <c r="A23" s="21">
        <v>9</v>
      </c>
      <c r="B23" s="7">
        <f>'القائمة الإسمية للمترشحين'!F23</f>
        <v>0</v>
      </c>
      <c r="C23" s="2">
        <v>0</v>
      </c>
      <c r="D23" s="2">
        <v>0</v>
      </c>
      <c r="E23" s="4" t="str">
        <f t="shared" si="1"/>
        <v xml:space="preserve"> </v>
      </c>
      <c r="F23" s="2">
        <v>0</v>
      </c>
      <c r="G23" s="90">
        <f t="shared" si="2"/>
        <v>0</v>
      </c>
      <c r="H23" s="90">
        <f t="shared" si="3"/>
        <v>0</v>
      </c>
      <c r="I23" s="90">
        <f t="shared" si="4"/>
        <v>0</v>
      </c>
      <c r="J23" s="90">
        <f t="shared" si="5"/>
        <v>0</v>
      </c>
      <c r="K23" s="91" t="str">
        <f t="shared" si="0"/>
        <v xml:space="preserve"> </v>
      </c>
      <c r="L23" s="46">
        <f t="shared" si="6"/>
        <v>0</v>
      </c>
      <c r="P23" s="161">
        <f t="shared" si="7"/>
        <v>0</v>
      </c>
      <c r="Q23" s="158">
        <f t="shared" si="8"/>
        <v>0</v>
      </c>
      <c r="R23" s="158">
        <f t="shared" si="9"/>
        <v>0</v>
      </c>
      <c r="S23" s="158">
        <f t="shared" si="10"/>
        <v>0</v>
      </c>
    </row>
    <row r="24" spans="1:19" ht="18.75" x14ac:dyDescent="0.25">
      <c r="A24" s="21">
        <v>10</v>
      </c>
      <c r="B24" s="7">
        <f>'القائمة الإسمية للمترشحين'!F24</f>
        <v>0</v>
      </c>
      <c r="C24" s="2">
        <v>0</v>
      </c>
      <c r="D24" s="2">
        <v>0</v>
      </c>
      <c r="E24" s="4" t="str">
        <f t="shared" si="1"/>
        <v xml:space="preserve"> </v>
      </c>
      <c r="F24" s="2">
        <v>0</v>
      </c>
      <c r="G24" s="90">
        <f t="shared" si="2"/>
        <v>0</v>
      </c>
      <c r="H24" s="90">
        <f t="shared" si="3"/>
        <v>0</v>
      </c>
      <c r="I24" s="90">
        <f t="shared" si="4"/>
        <v>0</v>
      </c>
      <c r="J24" s="90">
        <f t="shared" si="5"/>
        <v>0</v>
      </c>
      <c r="K24" s="91" t="str">
        <f t="shared" si="0"/>
        <v xml:space="preserve"> </v>
      </c>
      <c r="L24" s="46">
        <f t="shared" si="6"/>
        <v>0</v>
      </c>
      <c r="P24" s="161">
        <f t="shared" si="7"/>
        <v>0</v>
      </c>
      <c r="Q24" s="158">
        <f t="shared" si="8"/>
        <v>0</v>
      </c>
      <c r="R24" s="158">
        <f t="shared" si="9"/>
        <v>0</v>
      </c>
      <c r="S24" s="158">
        <f t="shared" si="10"/>
        <v>0</v>
      </c>
    </row>
    <row r="25" spans="1:19" ht="18.75" x14ac:dyDescent="0.25">
      <c r="A25" s="21">
        <v>11</v>
      </c>
      <c r="B25" s="7">
        <f>'القائمة الإسمية للمترشحين'!F25</f>
        <v>0</v>
      </c>
      <c r="C25" s="2">
        <v>0</v>
      </c>
      <c r="D25" s="2">
        <v>0</v>
      </c>
      <c r="E25" s="4" t="str">
        <f t="shared" si="1"/>
        <v xml:space="preserve"> </v>
      </c>
      <c r="F25" s="2">
        <v>0</v>
      </c>
      <c r="G25" s="90">
        <f t="shared" si="2"/>
        <v>0</v>
      </c>
      <c r="H25" s="90">
        <f t="shared" si="3"/>
        <v>0</v>
      </c>
      <c r="I25" s="90">
        <f t="shared" si="4"/>
        <v>0</v>
      </c>
      <c r="J25" s="90">
        <f t="shared" si="5"/>
        <v>0</v>
      </c>
      <c r="K25" s="91" t="str">
        <f t="shared" si="0"/>
        <v xml:space="preserve"> </v>
      </c>
      <c r="L25" s="46">
        <f t="shared" si="6"/>
        <v>0</v>
      </c>
      <c r="P25" s="161">
        <f t="shared" si="7"/>
        <v>0</v>
      </c>
      <c r="Q25" s="158">
        <f t="shared" si="8"/>
        <v>0</v>
      </c>
      <c r="R25" s="158">
        <f t="shared" si="9"/>
        <v>0</v>
      </c>
      <c r="S25" s="158">
        <f t="shared" si="10"/>
        <v>0</v>
      </c>
    </row>
    <row r="26" spans="1:19" ht="18.75" x14ac:dyDescent="0.25">
      <c r="A26" s="21">
        <v>12</v>
      </c>
      <c r="B26" s="7">
        <f>'القائمة الإسمية للمترشحين'!F26</f>
        <v>0</v>
      </c>
      <c r="C26" s="2">
        <v>0</v>
      </c>
      <c r="D26" s="2">
        <v>0</v>
      </c>
      <c r="E26" s="4" t="str">
        <f t="shared" si="1"/>
        <v xml:space="preserve"> </v>
      </c>
      <c r="F26" s="2">
        <v>0</v>
      </c>
      <c r="G26" s="90">
        <f t="shared" si="2"/>
        <v>0</v>
      </c>
      <c r="H26" s="90">
        <f t="shared" si="3"/>
        <v>0</v>
      </c>
      <c r="I26" s="90">
        <f t="shared" si="4"/>
        <v>0</v>
      </c>
      <c r="J26" s="90">
        <f t="shared" si="5"/>
        <v>0</v>
      </c>
      <c r="K26" s="91" t="str">
        <f t="shared" si="0"/>
        <v xml:space="preserve"> </v>
      </c>
      <c r="L26" s="46">
        <f t="shared" si="6"/>
        <v>0</v>
      </c>
      <c r="P26" s="161">
        <f t="shared" si="7"/>
        <v>0</v>
      </c>
      <c r="Q26" s="158">
        <f t="shared" si="8"/>
        <v>0</v>
      </c>
      <c r="R26" s="158">
        <f t="shared" si="9"/>
        <v>0</v>
      </c>
      <c r="S26" s="158">
        <f t="shared" si="10"/>
        <v>0</v>
      </c>
    </row>
    <row r="27" spans="1:19" ht="18.75" x14ac:dyDescent="0.25">
      <c r="A27" s="21">
        <v>13</v>
      </c>
      <c r="B27" s="7">
        <f>'القائمة الإسمية للمترشحين'!F27</f>
        <v>0</v>
      </c>
      <c r="C27" s="2">
        <v>0</v>
      </c>
      <c r="D27" s="2">
        <v>0</v>
      </c>
      <c r="E27" s="4" t="str">
        <f t="shared" si="1"/>
        <v xml:space="preserve"> </v>
      </c>
      <c r="F27" s="2">
        <v>0</v>
      </c>
      <c r="G27" s="90">
        <f t="shared" si="2"/>
        <v>0</v>
      </c>
      <c r="H27" s="90">
        <f t="shared" si="3"/>
        <v>0</v>
      </c>
      <c r="I27" s="90">
        <f t="shared" si="4"/>
        <v>0</v>
      </c>
      <c r="J27" s="90">
        <f t="shared" si="5"/>
        <v>0</v>
      </c>
      <c r="K27" s="91" t="str">
        <f t="shared" si="0"/>
        <v xml:space="preserve"> </v>
      </c>
      <c r="L27" s="46">
        <f t="shared" si="6"/>
        <v>0</v>
      </c>
      <c r="P27" s="161">
        <f t="shared" si="7"/>
        <v>0</v>
      </c>
      <c r="Q27" s="158">
        <f t="shared" si="8"/>
        <v>0</v>
      </c>
      <c r="R27" s="158">
        <f t="shared" si="9"/>
        <v>0</v>
      </c>
      <c r="S27" s="158">
        <f t="shared" si="10"/>
        <v>0</v>
      </c>
    </row>
    <row r="28" spans="1:19" ht="18.75" x14ac:dyDescent="0.25">
      <c r="A28" s="21">
        <v>14</v>
      </c>
      <c r="B28" s="7">
        <f>'القائمة الإسمية للمترشحين'!F28</f>
        <v>0</v>
      </c>
      <c r="C28" s="2">
        <v>0</v>
      </c>
      <c r="D28" s="2">
        <v>0</v>
      </c>
      <c r="E28" s="4" t="str">
        <f t="shared" si="1"/>
        <v xml:space="preserve"> </v>
      </c>
      <c r="F28" s="2">
        <v>0</v>
      </c>
      <c r="G28" s="90">
        <f t="shared" si="2"/>
        <v>0</v>
      </c>
      <c r="H28" s="90">
        <f t="shared" si="3"/>
        <v>0</v>
      </c>
      <c r="I28" s="90">
        <f t="shared" si="4"/>
        <v>0</v>
      </c>
      <c r="J28" s="90">
        <f t="shared" si="5"/>
        <v>0</v>
      </c>
      <c r="K28" s="91" t="str">
        <f t="shared" si="0"/>
        <v xml:space="preserve"> </v>
      </c>
      <c r="L28" s="46">
        <f t="shared" si="6"/>
        <v>0</v>
      </c>
      <c r="P28" s="161">
        <f t="shared" si="7"/>
        <v>0</v>
      </c>
      <c r="Q28" s="158">
        <f t="shared" si="8"/>
        <v>0</v>
      </c>
      <c r="R28" s="158">
        <f t="shared" si="9"/>
        <v>0</v>
      </c>
      <c r="S28" s="158">
        <f t="shared" si="10"/>
        <v>0</v>
      </c>
    </row>
    <row r="29" spans="1:19" ht="18.75" x14ac:dyDescent="0.25">
      <c r="A29" s="21">
        <v>15</v>
      </c>
      <c r="B29" s="7">
        <f>'القائمة الإسمية للمترشحين'!F29</f>
        <v>0</v>
      </c>
      <c r="C29" s="2">
        <v>0</v>
      </c>
      <c r="D29" s="2">
        <v>0</v>
      </c>
      <c r="E29" s="4" t="str">
        <f t="shared" si="1"/>
        <v xml:space="preserve"> </v>
      </c>
      <c r="F29" s="2">
        <v>0</v>
      </c>
      <c r="G29" s="90">
        <f t="shared" si="2"/>
        <v>0</v>
      </c>
      <c r="H29" s="90">
        <f t="shared" si="3"/>
        <v>0</v>
      </c>
      <c r="I29" s="90">
        <f t="shared" si="4"/>
        <v>0</v>
      </c>
      <c r="J29" s="90">
        <f t="shared" si="5"/>
        <v>0</v>
      </c>
      <c r="K29" s="91" t="str">
        <f t="shared" si="0"/>
        <v xml:space="preserve"> </v>
      </c>
      <c r="L29" s="46">
        <f t="shared" si="6"/>
        <v>0</v>
      </c>
      <c r="P29" s="161">
        <f t="shared" si="7"/>
        <v>0</v>
      </c>
      <c r="Q29" s="158">
        <f t="shared" si="8"/>
        <v>0</v>
      </c>
      <c r="R29" s="158">
        <f t="shared" si="9"/>
        <v>0</v>
      </c>
      <c r="S29" s="158">
        <f t="shared" si="10"/>
        <v>0</v>
      </c>
    </row>
    <row r="30" spans="1:19" ht="18.75" x14ac:dyDescent="0.25">
      <c r="A30" s="21">
        <v>16</v>
      </c>
      <c r="B30" s="7">
        <f>'القائمة الإسمية للمترشحين'!F30</f>
        <v>0</v>
      </c>
      <c r="C30" s="2">
        <v>0</v>
      </c>
      <c r="D30" s="2">
        <v>0</v>
      </c>
      <c r="E30" s="4" t="str">
        <f t="shared" si="1"/>
        <v xml:space="preserve"> </v>
      </c>
      <c r="F30" s="2">
        <v>0</v>
      </c>
      <c r="G30" s="90">
        <f t="shared" si="2"/>
        <v>0</v>
      </c>
      <c r="H30" s="90">
        <f t="shared" si="3"/>
        <v>0</v>
      </c>
      <c r="I30" s="90">
        <f t="shared" si="4"/>
        <v>0</v>
      </c>
      <c r="J30" s="90">
        <f t="shared" si="5"/>
        <v>0</v>
      </c>
      <c r="K30" s="91" t="str">
        <f t="shared" si="0"/>
        <v xml:space="preserve"> </v>
      </c>
      <c r="L30" s="46">
        <f t="shared" si="6"/>
        <v>0</v>
      </c>
      <c r="P30" s="161">
        <f t="shared" si="7"/>
        <v>0</v>
      </c>
      <c r="Q30" s="158">
        <f t="shared" si="8"/>
        <v>0</v>
      </c>
      <c r="R30" s="158">
        <f t="shared" si="9"/>
        <v>0</v>
      </c>
      <c r="S30" s="158">
        <f t="shared" si="10"/>
        <v>0</v>
      </c>
    </row>
    <row r="31" spans="1:19" ht="18.75" x14ac:dyDescent="0.25">
      <c r="A31" s="21">
        <v>17</v>
      </c>
      <c r="B31" s="7">
        <f>'القائمة الإسمية للمترشحين'!F31</f>
        <v>0</v>
      </c>
      <c r="C31" s="2">
        <v>0</v>
      </c>
      <c r="D31" s="2">
        <v>0</v>
      </c>
      <c r="E31" s="4" t="str">
        <f t="shared" si="1"/>
        <v xml:space="preserve"> </v>
      </c>
      <c r="F31" s="2">
        <v>0</v>
      </c>
      <c r="G31" s="90">
        <f t="shared" si="2"/>
        <v>0</v>
      </c>
      <c r="H31" s="90">
        <f t="shared" si="3"/>
        <v>0</v>
      </c>
      <c r="I31" s="90">
        <f t="shared" si="4"/>
        <v>0</v>
      </c>
      <c r="J31" s="90">
        <f t="shared" si="5"/>
        <v>0</v>
      </c>
      <c r="K31" s="91" t="str">
        <f t="shared" si="0"/>
        <v xml:space="preserve"> </v>
      </c>
      <c r="L31" s="46">
        <f t="shared" si="6"/>
        <v>0</v>
      </c>
      <c r="P31" s="161">
        <f t="shared" si="7"/>
        <v>0</v>
      </c>
      <c r="Q31" s="158">
        <f t="shared" si="8"/>
        <v>0</v>
      </c>
      <c r="R31" s="158">
        <f t="shared" si="9"/>
        <v>0</v>
      </c>
      <c r="S31" s="158">
        <f t="shared" si="10"/>
        <v>0</v>
      </c>
    </row>
    <row r="32" spans="1:19" ht="18.75" customHeight="1" x14ac:dyDescent="0.25">
      <c r="A32" s="21">
        <v>18</v>
      </c>
      <c r="B32" s="7">
        <f>'القائمة الإسمية للمترشحين'!F32</f>
        <v>0</v>
      </c>
      <c r="C32" s="2">
        <v>0</v>
      </c>
      <c r="D32" s="2">
        <v>0</v>
      </c>
      <c r="E32" s="4" t="str">
        <f t="shared" si="1"/>
        <v xml:space="preserve"> </v>
      </c>
      <c r="F32" s="2">
        <v>0</v>
      </c>
      <c r="G32" s="90">
        <f t="shared" si="2"/>
        <v>0</v>
      </c>
      <c r="H32" s="90">
        <f t="shared" si="3"/>
        <v>0</v>
      </c>
      <c r="I32" s="90">
        <f t="shared" si="4"/>
        <v>0</v>
      </c>
      <c r="J32" s="90">
        <f t="shared" si="5"/>
        <v>0</v>
      </c>
      <c r="K32" s="91" t="str">
        <f t="shared" si="0"/>
        <v xml:space="preserve"> </v>
      </c>
      <c r="L32" s="46">
        <f t="shared" si="6"/>
        <v>0</v>
      </c>
      <c r="P32" s="161">
        <f t="shared" si="7"/>
        <v>0</v>
      </c>
      <c r="Q32" s="158">
        <f t="shared" si="8"/>
        <v>0</v>
      </c>
      <c r="R32" s="158">
        <f t="shared" si="9"/>
        <v>0</v>
      </c>
      <c r="S32" s="158">
        <f t="shared" si="10"/>
        <v>0</v>
      </c>
    </row>
    <row r="33" spans="1:21" ht="18.75" customHeight="1" x14ac:dyDescent="0.25">
      <c r="A33" s="21">
        <v>19</v>
      </c>
      <c r="B33" s="7">
        <f>'القائمة الإسمية للمترشحين'!F33</f>
        <v>0</v>
      </c>
      <c r="C33" s="2">
        <v>0</v>
      </c>
      <c r="D33" s="2">
        <v>0</v>
      </c>
      <c r="E33" s="4" t="str">
        <f t="shared" si="1"/>
        <v xml:space="preserve"> </v>
      </c>
      <c r="F33" s="2">
        <v>0</v>
      </c>
      <c r="G33" s="90">
        <f t="shared" si="2"/>
        <v>0</v>
      </c>
      <c r="H33" s="90">
        <f t="shared" si="3"/>
        <v>0</v>
      </c>
      <c r="I33" s="90">
        <f t="shared" si="4"/>
        <v>0</v>
      </c>
      <c r="J33" s="90">
        <f t="shared" si="5"/>
        <v>0</v>
      </c>
      <c r="K33" s="91" t="str">
        <f t="shared" si="0"/>
        <v xml:space="preserve"> </v>
      </c>
      <c r="L33" s="46">
        <f t="shared" si="6"/>
        <v>0</v>
      </c>
      <c r="P33" s="161">
        <f t="shared" si="7"/>
        <v>0</v>
      </c>
      <c r="Q33" s="158">
        <f t="shared" si="8"/>
        <v>0</v>
      </c>
      <c r="R33" s="158">
        <f t="shared" si="9"/>
        <v>0</v>
      </c>
      <c r="S33" s="158">
        <f t="shared" si="10"/>
        <v>0</v>
      </c>
    </row>
    <row r="34" spans="1:21" ht="18.75" customHeight="1" x14ac:dyDescent="0.25">
      <c r="A34" s="21">
        <v>20</v>
      </c>
      <c r="B34" s="7">
        <f>'القائمة الإسمية للمترشحين'!F34</f>
        <v>0</v>
      </c>
      <c r="C34" s="2">
        <v>0</v>
      </c>
      <c r="D34" s="2">
        <v>0</v>
      </c>
      <c r="E34" s="4" t="str">
        <f t="shared" si="1"/>
        <v xml:space="preserve"> </v>
      </c>
      <c r="F34" s="2">
        <v>0</v>
      </c>
      <c r="G34" s="90">
        <f t="shared" si="2"/>
        <v>0</v>
      </c>
      <c r="H34" s="90">
        <f t="shared" si="3"/>
        <v>0</v>
      </c>
      <c r="I34" s="90">
        <f t="shared" si="4"/>
        <v>0</v>
      </c>
      <c r="J34" s="90">
        <f t="shared" si="5"/>
        <v>0</v>
      </c>
      <c r="K34" s="91" t="str">
        <f t="shared" si="0"/>
        <v xml:space="preserve"> </v>
      </c>
      <c r="L34" s="46">
        <f t="shared" si="6"/>
        <v>0</v>
      </c>
      <c r="P34" s="161">
        <f t="shared" si="7"/>
        <v>0</v>
      </c>
      <c r="Q34" s="158">
        <f t="shared" si="8"/>
        <v>0</v>
      </c>
      <c r="R34" s="158">
        <f t="shared" si="9"/>
        <v>0</v>
      </c>
      <c r="S34" s="158">
        <f t="shared" si="10"/>
        <v>0</v>
      </c>
    </row>
    <row r="35" spans="1:21" ht="18.75" customHeight="1" x14ac:dyDescent="0.25">
      <c r="A35" s="21">
        <v>21</v>
      </c>
      <c r="B35" s="7">
        <f>'القائمة الإسمية للمترشحين'!F35</f>
        <v>0</v>
      </c>
      <c r="C35" s="2">
        <v>0</v>
      </c>
      <c r="D35" s="2">
        <v>0</v>
      </c>
      <c r="E35" s="4" t="str">
        <f t="shared" si="1"/>
        <v xml:space="preserve"> </v>
      </c>
      <c r="F35" s="2">
        <v>0</v>
      </c>
      <c r="G35" s="90">
        <f t="shared" si="2"/>
        <v>0</v>
      </c>
      <c r="H35" s="90">
        <f t="shared" si="3"/>
        <v>0</v>
      </c>
      <c r="I35" s="90">
        <f t="shared" si="4"/>
        <v>0</v>
      </c>
      <c r="J35" s="90">
        <f t="shared" si="5"/>
        <v>0</v>
      </c>
      <c r="K35" s="91" t="str">
        <f t="shared" si="0"/>
        <v xml:space="preserve"> </v>
      </c>
      <c r="L35" s="46">
        <f t="shared" si="6"/>
        <v>0</v>
      </c>
      <c r="P35" s="161">
        <f t="shared" si="7"/>
        <v>0</v>
      </c>
      <c r="Q35" s="158">
        <f t="shared" si="8"/>
        <v>0</v>
      </c>
      <c r="R35" s="158">
        <f t="shared" si="9"/>
        <v>0</v>
      </c>
      <c r="S35" s="158">
        <f t="shared" si="10"/>
        <v>0</v>
      </c>
    </row>
    <row r="36" spans="1:21" ht="18.75" customHeight="1" x14ac:dyDescent="0.25">
      <c r="A36" s="21">
        <v>22</v>
      </c>
      <c r="B36" s="7">
        <f>'القائمة الإسمية للمترشحين'!F36</f>
        <v>0</v>
      </c>
      <c r="C36" s="2">
        <v>0</v>
      </c>
      <c r="D36" s="2">
        <v>0</v>
      </c>
      <c r="E36" s="4" t="str">
        <f t="shared" si="1"/>
        <v xml:space="preserve"> </v>
      </c>
      <c r="F36" s="2">
        <v>0</v>
      </c>
      <c r="G36" s="90">
        <f t="shared" si="2"/>
        <v>0</v>
      </c>
      <c r="H36" s="90">
        <f t="shared" si="3"/>
        <v>0</v>
      </c>
      <c r="I36" s="90">
        <f t="shared" si="4"/>
        <v>0</v>
      </c>
      <c r="J36" s="90">
        <f t="shared" si="5"/>
        <v>0</v>
      </c>
      <c r="K36" s="91" t="str">
        <f t="shared" si="0"/>
        <v xml:space="preserve"> </v>
      </c>
      <c r="L36" s="46">
        <f t="shared" si="6"/>
        <v>0</v>
      </c>
      <c r="P36" s="161">
        <f t="shared" si="7"/>
        <v>0</v>
      </c>
      <c r="Q36" s="158">
        <f t="shared" si="8"/>
        <v>0</v>
      </c>
      <c r="R36" s="158">
        <f t="shared" si="9"/>
        <v>0</v>
      </c>
      <c r="S36" s="158">
        <f t="shared" si="10"/>
        <v>0</v>
      </c>
    </row>
    <row r="37" spans="1:21" ht="18.75" customHeight="1" x14ac:dyDescent="0.25">
      <c r="A37" s="21">
        <v>23</v>
      </c>
      <c r="B37" s="7">
        <f>'القائمة الإسمية للمترشحين'!F37</f>
        <v>0</v>
      </c>
      <c r="C37" s="2">
        <v>0</v>
      </c>
      <c r="D37" s="2">
        <v>0</v>
      </c>
      <c r="E37" s="4" t="str">
        <f t="shared" si="1"/>
        <v xml:space="preserve"> </v>
      </c>
      <c r="F37" s="2">
        <v>0</v>
      </c>
      <c r="G37" s="90">
        <f t="shared" si="2"/>
        <v>0</v>
      </c>
      <c r="H37" s="90">
        <f t="shared" si="3"/>
        <v>0</v>
      </c>
      <c r="I37" s="90">
        <f t="shared" si="4"/>
        <v>0</v>
      </c>
      <c r="J37" s="90">
        <f t="shared" si="5"/>
        <v>0</v>
      </c>
      <c r="K37" s="91" t="str">
        <f t="shared" si="0"/>
        <v xml:space="preserve"> </v>
      </c>
      <c r="L37" s="46">
        <f t="shared" si="6"/>
        <v>0</v>
      </c>
      <c r="P37" s="161">
        <f t="shared" si="7"/>
        <v>0</v>
      </c>
      <c r="Q37" s="158">
        <f t="shared" si="8"/>
        <v>0</v>
      </c>
      <c r="R37" s="158">
        <f t="shared" si="9"/>
        <v>0</v>
      </c>
      <c r="S37" s="158">
        <f t="shared" si="10"/>
        <v>0</v>
      </c>
    </row>
    <row r="38" spans="1:21" ht="18.75" customHeight="1" x14ac:dyDescent="0.25">
      <c r="A38" s="21">
        <v>24</v>
      </c>
      <c r="B38" s="7">
        <f>'القائمة الإسمية للمترشحين'!F38</f>
        <v>0</v>
      </c>
      <c r="C38" s="2">
        <v>0</v>
      </c>
      <c r="D38" s="2">
        <v>0</v>
      </c>
      <c r="E38" s="4" t="str">
        <f t="shared" si="1"/>
        <v xml:space="preserve"> </v>
      </c>
      <c r="F38" s="2">
        <v>0</v>
      </c>
      <c r="G38" s="90">
        <f t="shared" si="2"/>
        <v>0</v>
      </c>
      <c r="H38" s="90">
        <f t="shared" si="3"/>
        <v>0</v>
      </c>
      <c r="I38" s="90">
        <f t="shared" si="4"/>
        <v>0</v>
      </c>
      <c r="J38" s="90">
        <f t="shared" si="5"/>
        <v>0</v>
      </c>
      <c r="K38" s="91" t="str">
        <f t="shared" si="0"/>
        <v xml:space="preserve"> </v>
      </c>
      <c r="L38" s="46">
        <f t="shared" si="6"/>
        <v>0</v>
      </c>
      <c r="P38" s="161">
        <f t="shared" si="7"/>
        <v>0</v>
      </c>
      <c r="Q38" s="158">
        <f t="shared" si="8"/>
        <v>0</v>
      </c>
      <c r="R38" s="158">
        <f t="shared" si="9"/>
        <v>0</v>
      </c>
      <c r="S38" s="158">
        <f t="shared" si="10"/>
        <v>0</v>
      </c>
    </row>
    <row r="39" spans="1:21" ht="18.75" customHeight="1" x14ac:dyDescent="0.25">
      <c r="A39" s="21">
        <v>25</v>
      </c>
      <c r="B39" s="7">
        <f>'القائمة الإسمية للمترشحين'!F39</f>
        <v>0</v>
      </c>
      <c r="C39" s="2">
        <v>0</v>
      </c>
      <c r="D39" s="2">
        <v>0</v>
      </c>
      <c r="E39" s="4" t="str">
        <f t="shared" si="1"/>
        <v xml:space="preserve"> </v>
      </c>
      <c r="F39" s="2">
        <v>0</v>
      </c>
      <c r="G39" s="90">
        <f t="shared" si="2"/>
        <v>0</v>
      </c>
      <c r="H39" s="90">
        <f t="shared" si="3"/>
        <v>0</v>
      </c>
      <c r="I39" s="90">
        <f t="shared" si="4"/>
        <v>0</v>
      </c>
      <c r="J39" s="90">
        <f t="shared" si="5"/>
        <v>0</v>
      </c>
      <c r="K39" s="91" t="str">
        <f t="shared" si="0"/>
        <v xml:space="preserve"> </v>
      </c>
      <c r="L39" s="46">
        <f t="shared" si="6"/>
        <v>0</v>
      </c>
      <c r="P39" s="161">
        <f t="shared" si="7"/>
        <v>0</v>
      </c>
      <c r="Q39" s="158">
        <f t="shared" si="8"/>
        <v>0</v>
      </c>
      <c r="R39" s="158">
        <f t="shared" si="9"/>
        <v>0</v>
      </c>
      <c r="S39" s="158">
        <f t="shared" si="10"/>
        <v>0</v>
      </c>
    </row>
    <row r="40" spans="1:21" ht="18.75" customHeight="1" x14ac:dyDescent="0.25">
      <c r="A40" s="21">
        <v>26</v>
      </c>
      <c r="B40" s="7">
        <f>'القائمة الإسمية للمترشحين'!F40</f>
        <v>0</v>
      </c>
      <c r="C40" s="2">
        <v>0</v>
      </c>
      <c r="D40" s="2">
        <v>0</v>
      </c>
      <c r="E40" s="4" t="str">
        <f t="shared" si="1"/>
        <v xml:space="preserve"> </v>
      </c>
      <c r="F40" s="2">
        <v>0</v>
      </c>
      <c r="G40" s="90">
        <f t="shared" si="2"/>
        <v>0</v>
      </c>
      <c r="H40" s="90">
        <f t="shared" si="3"/>
        <v>0</v>
      </c>
      <c r="I40" s="90">
        <f t="shared" si="4"/>
        <v>0</v>
      </c>
      <c r="J40" s="90">
        <f t="shared" si="5"/>
        <v>0</v>
      </c>
      <c r="K40" s="91" t="str">
        <f t="shared" si="0"/>
        <v xml:space="preserve"> </v>
      </c>
      <c r="L40" s="46">
        <f t="shared" si="6"/>
        <v>0</v>
      </c>
      <c r="P40" s="161">
        <f t="shared" si="7"/>
        <v>0</v>
      </c>
      <c r="Q40" s="158">
        <f t="shared" si="8"/>
        <v>0</v>
      </c>
      <c r="R40" s="158">
        <f t="shared" si="9"/>
        <v>0</v>
      </c>
      <c r="S40" s="158">
        <f t="shared" si="10"/>
        <v>0</v>
      </c>
    </row>
    <row r="41" spans="1:21" ht="18.75" customHeight="1" x14ac:dyDescent="0.25">
      <c r="A41" s="21">
        <v>27</v>
      </c>
      <c r="B41" s="7">
        <f>'القائمة الإسمية للمترشحين'!F41</f>
        <v>0</v>
      </c>
      <c r="C41" s="2">
        <v>0</v>
      </c>
      <c r="D41" s="2">
        <v>0</v>
      </c>
      <c r="E41" s="4" t="str">
        <f t="shared" si="1"/>
        <v xml:space="preserve"> </v>
      </c>
      <c r="F41" s="2">
        <v>0</v>
      </c>
      <c r="G41" s="90">
        <f t="shared" si="2"/>
        <v>0</v>
      </c>
      <c r="H41" s="90">
        <f t="shared" si="3"/>
        <v>0</v>
      </c>
      <c r="I41" s="90">
        <f t="shared" si="4"/>
        <v>0</v>
      </c>
      <c r="J41" s="90">
        <f t="shared" si="5"/>
        <v>0</v>
      </c>
      <c r="K41" s="91" t="str">
        <f t="shared" si="0"/>
        <v xml:space="preserve"> </v>
      </c>
      <c r="L41" s="46">
        <f t="shared" si="6"/>
        <v>0</v>
      </c>
      <c r="P41" s="161">
        <f t="shared" si="7"/>
        <v>0</v>
      </c>
      <c r="Q41" s="158">
        <f t="shared" si="8"/>
        <v>0</v>
      </c>
      <c r="R41" s="158">
        <f t="shared" si="9"/>
        <v>0</v>
      </c>
      <c r="S41" s="158">
        <f t="shared" si="10"/>
        <v>0</v>
      </c>
    </row>
    <row r="42" spans="1:21" ht="18.75" customHeight="1" x14ac:dyDescent="0.25">
      <c r="A42" s="21">
        <v>28</v>
      </c>
      <c r="B42" s="7">
        <f>'القائمة الإسمية للمترشحين'!F42</f>
        <v>0</v>
      </c>
      <c r="C42" s="2">
        <v>0</v>
      </c>
      <c r="D42" s="2">
        <v>0</v>
      </c>
      <c r="E42" s="4" t="str">
        <f t="shared" si="1"/>
        <v xml:space="preserve"> </v>
      </c>
      <c r="F42" s="2">
        <v>0</v>
      </c>
      <c r="G42" s="90">
        <f t="shared" si="2"/>
        <v>0</v>
      </c>
      <c r="H42" s="90">
        <f t="shared" si="3"/>
        <v>0</v>
      </c>
      <c r="I42" s="90">
        <f t="shared" si="4"/>
        <v>0</v>
      </c>
      <c r="J42" s="90">
        <f t="shared" si="5"/>
        <v>0</v>
      </c>
      <c r="K42" s="91" t="str">
        <f t="shared" si="0"/>
        <v xml:space="preserve"> </v>
      </c>
      <c r="L42" s="46">
        <f t="shared" si="6"/>
        <v>0</v>
      </c>
      <c r="M42" s="1"/>
      <c r="P42" s="161">
        <f t="shared" si="7"/>
        <v>0</v>
      </c>
      <c r="Q42" s="158">
        <f t="shared" si="8"/>
        <v>0</v>
      </c>
      <c r="R42" s="158">
        <f t="shared" si="9"/>
        <v>0</v>
      </c>
      <c r="S42" s="158">
        <f t="shared" si="10"/>
        <v>0</v>
      </c>
    </row>
    <row r="43" spans="1:21" ht="18.75" customHeight="1" x14ac:dyDescent="0.25">
      <c r="A43" s="21">
        <v>29</v>
      </c>
      <c r="B43" s="7">
        <f>'القائمة الإسمية للمترشحين'!F43</f>
        <v>0</v>
      </c>
      <c r="C43" s="2">
        <v>0</v>
      </c>
      <c r="D43" s="2">
        <v>0</v>
      </c>
      <c r="E43" s="4" t="str">
        <f t="shared" si="1"/>
        <v xml:space="preserve"> </v>
      </c>
      <c r="F43" s="2">
        <v>0</v>
      </c>
      <c r="G43" s="90">
        <f t="shared" si="2"/>
        <v>0</v>
      </c>
      <c r="H43" s="90">
        <f t="shared" si="3"/>
        <v>0</v>
      </c>
      <c r="I43" s="90">
        <f t="shared" si="4"/>
        <v>0</v>
      </c>
      <c r="J43" s="90">
        <f t="shared" si="5"/>
        <v>0</v>
      </c>
      <c r="K43" s="91" t="str">
        <f t="shared" si="0"/>
        <v xml:space="preserve"> </v>
      </c>
      <c r="L43" s="46">
        <f t="shared" si="6"/>
        <v>0</v>
      </c>
      <c r="P43" s="161">
        <f t="shared" si="7"/>
        <v>0</v>
      </c>
      <c r="Q43" s="158">
        <f t="shared" si="8"/>
        <v>0</v>
      </c>
      <c r="R43" s="158">
        <f t="shared" si="9"/>
        <v>0</v>
      </c>
      <c r="S43" s="158">
        <f t="shared" si="10"/>
        <v>0</v>
      </c>
    </row>
    <row r="44" spans="1:21" ht="18.75" customHeight="1" x14ac:dyDescent="0.25">
      <c r="A44" s="21">
        <v>30</v>
      </c>
      <c r="B44" s="7">
        <f>'القائمة الإسمية للمترشحين'!F44</f>
        <v>0</v>
      </c>
      <c r="C44" s="2">
        <v>0</v>
      </c>
      <c r="D44" s="2">
        <v>0</v>
      </c>
      <c r="E44" s="4" t="str">
        <f t="shared" si="1"/>
        <v xml:space="preserve"> </v>
      </c>
      <c r="F44" s="2">
        <v>0</v>
      </c>
      <c r="G44" s="90">
        <f t="shared" si="2"/>
        <v>0</v>
      </c>
      <c r="H44" s="90">
        <f t="shared" si="3"/>
        <v>0</v>
      </c>
      <c r="I44" s="90">
        <f t="shared" si="4"/>
        <v>0</v>
      </c>
      <c r="J44" s="90">
        <f t="shared" si="5"/>
        <v>0</v>
      </c>
      <c r="K44" s="91" t="str">
        <f t="shared" si="0"/>
        <v xml:space="preserve"> </v>
      </c>
      <c r="L44" s="46">
        <f t="shared" si="6"/>
        <v>0</v>
      </c>
      <c r="P44" s="161">
        <f t="shared" si="7"/>
        <v>0</v>
      </c>
      <c r="Q44" s="158">
        <f t="shared" si="8"/>
        <v>0</v>
      </c>
      <c r="R44" s="158">
        <f t="shared" si="9"/>
        <v>0</v>
      </c>
      <c r="S44" s="158">
        <f t="shared" si="10"/>
        <v>0</v>
      </c>
    </row>
    <row r="45" spans="1:21" ht="18.75" customHeight="1" x14ac:dyDescent="0.25">
      <c r="A45" s="21">
        <v>31</v>
      </c>
      <c r="B45" s="7">
        <f>'القائمة الإسمية للمترشحين'!F45</f>
        <v>0</v>
      </c>
      <c r="C45" s="2">
        <v>0</v>
      </c>
      <c r="D45" s="2">
        <v>0</v>
      </c>
      <c r="E45" s="4" t="str">
        <f t="shared" si="1"/>
        <v xml:space="preserve"> </v>
      </c>
      <c r="F45" s="2">
        <v>0</v>
      </c>
      <c r="G45" s="90">
        <f t="shared" si="2"/>
        <v>0</v>
      </c>
      <c r="H45" s="90">
        <f t="shared" si="3"/>
        <v>0</v>
      </c>
      <c r="I45" s="90">
        <f t="shared" si="4"/>
        <v>0</v>
      </c>
      <c r="J45" s="90">
        <f t="shared" si="5"/>
        <v>0</v>
      </c>
      <c r="K45" s="91" t="str">
        <f t="shared" si="0"/>
        <v xml:space="preserve"> </v>
      </c>
      <c r="L45" s="46">
        <f t="shared" si="6"/>
        <v>0</v>
      </c>
      <c r="P45" s="161">
        <f t="shared" si="7"/>
        <v>0</v>
      </c>
      <c r="Q45" s="158">
        <f t="shared" si="8"/>
        <v>0</v>
      </c>
      <c r="R45" s="158">
        <f t="shared" si="9"/>
        <v>0</v>
      </c>
      <c r="S45" s="158">
        <f t="shared" si="10"/>
        <v>0</v>
      </c>
    </row>
    <row r="46" spans="1:21" ht="18.75" customHeight="1" x14ac:dyDescent="0.25">
      <c r="A46" s="21">
        <v>32</v>
      </c>
      <c r="B46" s="7">
        <f>'القائمة الإسمية للمترشحين'!F46</f>
        <v>0</v>
      </c>
      <c r="C46" s="2">
        <v>0</v>
      </c>
      <c r="D46" s="2">
        <v>0</v>
      </c>
      <c r="E46" s="4" t="str">
        <f t="shared" si="1"/>
        <v xml:space="preserve"> </v>
      </c>
      <c r="F46" s="2">
        <v>0</v>
      </c>
      <c r="G46" s="90">
        <f t="shared" si="2"/>
        <v>0</v>
      </c>
      <c r="H46" s="90">
        <f t="shared" si="3"/>
        <v>0</v>
      </c>
      <c r="I46" s="90">
        <f t="shared" si="4"/>
        <v>0</v>
      </c>
      <c r="J46" s="90">
        <f t="shared" si="5"/>
        <v>0</v>
      </c>
      <c r="K46" s="91" t="str">
        <f t="shared" si="0"/>
        <v xml:space="preserve"> </v>
      </c>
      <c r="L46" s="46">
        <f t="shared" si="6"/>
        <v>0</v>
      </c>
      <c r="P46" s="161">
        <f t="shared" si="7"/>
        <v>0</v>
      </c>
      <c r="Q46" s="158">
        <f t="shared" si="8"/>
        <v>0</v>
      </c>
      <c r="R46" s="158">
        <f t="shared" si="9"/>
        <v>0</v>
      </c>
      <c r="S46" s="158">
        <f t="shared" si="10"/>
        <v>0</v>
      </c>
    </row>
    <row r="47" spans="1:21" s="12" customFormat="1" ht="18.75" customHeight="1" x14ac:dyDescent="0.25">
      <c r="A47" s="21">
        <v>33</v>
      </c>
      <c r="B47" s="7">
        <f>'القائمة الإسمية للمترشحين'!F47</f>
        <v>0</v>
      </c>
      <c r="C47" s="2">
        <v>0</v>
      </c>
      <c r="D47" s="2">
        <v>0</v>
      </c>
      <c r="E47" s="4" t="str">
        <f t="shared" si="1"/>
        <v xml:space="preserve"> </v>
      </c>
      <c r="F47" s="2">
        <v>0</v>
      </c>
      <c r="G47" s="90">
        <f t="shared" si="2"/>
        <v>0</v>
      </c>
      <c r="H47" s="90">
        <f t="shared" si="3"/>
        <v>0</v>
      </c>
      <c r="I47" s="90">
        <f t="shared" si="4"/>
        <v>0</v>
      </c>
      <c r="J47" s="90">
        <f t="shared" si="5"/>
        <v>0</v>
      </c>
      <c r="K47" s="91" t="str">
        <f t="shared" ref="K47:K65" si="11">IF(E47=" "," ",IF(H47&lt;I47,(F47+C47)/2,(F47+D47)/2))</f>
        <v xml:space="preserve"> </v>
      </c>
      <c r="L47" s="46">
        <f t="shared" si="6"/>
        <v>0</v>
      </c>
      <c r="N47" s="156"/>
      <c r="O47" s="156"/>
      <c r="P47" s="161">
        <f t="shared" si="7"/>
        <v>0</v>
      </c>
      <c r="Q47" s="158">
        <f t="shared" si="8"/>
        <v>0</v>
      </c>
      <c r="R47" s="158">
        <f t="shared" si="9"/>
        <v>0</v>
      </c>
      <c r="S47" s="158">
        <f t="shared" si="10"/>
        <v>0</v>
      </c>
      <c r="T47" s="156"/>
      <c r="U47" s="156"/>
    </row>
    <row r="48" spans="1:21" ht="18.75" customHeight="1" x14ac:dyDescent="0.25">
      <c r="A48" s="21">
        <v>34</v>
      </c>
      <c r="B48" s="7">
        <f>'القائمة الإسمية للمترشحين'!F48</f>
        <v>0</v>
      </c>
      <c r="C48" s="2">
        <v>0</v>
      </c>
      <c r="D48" s="2">
        <v>0</v>
      </c>
      <c r="E48" s="4" t="str">
        <f t="shared" si="1"/>
        <v xml:space="preserve"> </v>
      </c>
      <c r="F48" s="2">
        <v>0</v>
      </c>
      <c r="G48" s="90">
        <f t="shared" si="2"/>
        <v>0</v>
      </c>
      <c r="H48" s="90">
        <f t="shared" si="3"/>
        <v>0</v>
      </c>
      <c r="I48" s="90">
        <f t="shared" si="4"/>
        <v>0</v>
      </c>
      <c r="J48" s="90">
        <f t="shared" si="5"/>
        <v>0</v>
      </c>
      <c r="K48" s="91" t="str">
        <f t="shared" si="11"/>
        <v xml:space="preserve"> </v>
      </c>
      <c r="L48" s="46">
        <f t="shared" si="6"/>
        <v>0</v>
      </c>
      <c r="P48" s="161">
        <f t="shared" si="7"/>
        <v>0</v>
      </c>
      <c r="Q48" s="158">
        <f t="shared" si="8"/>
        <v>0</v>
      </c>
      <c r="R48" s="158">
        <f t="shared" si="9"/>
        <v>0</v>
      </c>
      <c r="S48" s="158">
        <f t="shared" si="10"/>
        <v>0</v>
      </c>
    </row>
    <row r="49" spans="1:19" ht="18.75" customHeight="1" x14ac:dyDescent="0.25">
      <c r="A49" s="21">
        <v>35</v>
      </c>
      <c r="B49" s="7">
        <f>'القائمة الإسمية للمترشحين'!F49</f>
        <v>0</v>
      </c>
      <c r="C49" s="2">
        <v>0</v>
      </c>
      <c r="D49" s="2">
        <v>0</v>
      </c>
      <c r="E49" s="4" t="str">
        <f t="shared" si="1"/>
        <v xml:space="preserve"> </v>
      </c>
      <c r="F49" s="2">
        <v>0</v>
      </c>
      <c r="G49" s="90">
        <f t="shared" si="2"/>
        <v>0</v>
      </c>
      <c r="H49" s="90">
        <f t="shared" si="3"/>
        <v>0</v>
      </c>
      <c r="I49" s="90">
        <f t="shared" si="4"/>
        <v>0</v>
      </c>
      <c r="J49" s="90">
        <f t="shared" si="5"/>
        <v>0</v>
      </c>
      <c r="K49" s="91" t="str">
        <f t="shared" si="11"/>
        <v xml:space="preserve"> </v>
      </c>
      <c r="L49" s="46">
        <f t="shared" si="6"/>
        <v>0</v>
      </c>
      <c r="P49" s="161">
        <f t="shared" si="7"/>
        <v>0</v>
      </c>
      <c r="Q49" s="158">
        <f t="shared" si="8"/>
        <v>0</v>
      </c>
      <c r="R49" s="158">
        <f t="shared" si="9"/>
        <v>0</v>
      </c>
      <c r="S49" s="158">
        <f t="shared" si="10"/>
        <v>0</v>
      </c>
    </row>
    <row r="50" spans="1:19" ht="18.75" customHeight="1" x14ac:dyDescent="0.25">
      <c r="A50" s="21">
        <v>36</v>
      </c>
      <c r="B50" s="7">
        <f>'القائمة الإسمية للمترشحين'!F50</f>
        <v>0</v>
      </c>
      <c r="C50" s="2">
        <v>0</v>
      </c>
      <c r="D50" s="2">
        <v>0</v>
      </c>
      <c r="E50" s="4" t="str">
        <f t="shared" si="1"/>
        <v xml:space="preserve"> </v>
      </c>
      <c r="F50" s="2">
        <v>0</v>
      </c>
      <c r="G50" s="90">
        <f t="shared" si="2"/>
        <v>0</v>
      </c>
      <c r="H50" s="90">
        <f t="shared" si="3"/>
        <v>0</v>
      </c>
      <c r="I50" s="90">
        <f t="shared" si="4"/>
        <v>0</v>
      </c>
      <c r="J50" s="90">
        <f t="shared" si="5"/>
        <v>0</v>
      </c>
      <c r="K50" s="91" t="str">
        <f t="shared" si="11"/>
        <v xml:space="preserve"> </v>
      </c>
      <c r="L50" s="46">
        <f t="shared" si="6"/>
        <v>0</v>
      </c>
      <c r="P50" s="161">
        <f t="shared" si="7"/>
        <v>0</v>
      </c>
      <c r="Q50" s="158">
        <f t="shared" si="8"/>
        <v>0</v>
      </c>
      <c r="R50" s="158">
        <f t="shared" si="9"/>
        <v>0</v>
      </c>
      <c r="S50" s="158">
        <f t="shared" si="10"/>
        <v>0</v>
      </c>
    </row>
    <row r="51" spans="1:19" ht="18.75" x14ac:dyDescent="0.25">
      <c r="A51" s="21">
        <v>37</v>
      </c>
      <c r="B51" s="7">
        <f>'القائمة الإسمية للمترشحين'!F51</f>
        <v>0</v>
      </c>
      <c r="C51" s="2">
        <v>0</v>
      </c>
      <c r="D51" s="2">
        <v>0</v>
      </c>
      <c r="E51" s="4" t="str">
        <f t="shared" si="1"/>
        <v xml:space="preserve"> </v>
      </c>
      <c r="F51" s="2">
        <v>0</v>
      </c>
      <c r="G51" s="90">
        <f t="shared" si="2"/>
        <v>0</v>
      </c>
      <c r="H51" s="90">
        <f t="shared" si="3"/>
        <v>0</v>
      </c>
      <c r="I51" s="90">
        <f t="shared" si="4"/>
        <v>0</v>
      </c>
      <c r="J51" s="90">
        <f t="shared" si="5"/>
        <v>0</v>
      </c>
      <c r="K51" s="91" t="str">
        <f t="shared" si="11"/>
        <v xml:space="preserve"> </v>
      </c>
      <c r="L51" s="46">
        <f t="shared" si="6"/>
        <v>0</v>
      </c>
      <c r="P51" s="161">
        <f t="shared" si="7"/>
        <v>0</v>
      </c>
      <c r="Q51" s="158">
        <f t="shared" si="8"/>
        <v>0</v>
      </c>
      <c r="R51" s="158">
        <f t="shared" si="9"/>
        <v>0</v>
      </c>
      <c r="S51" s="158">
        <f t="shared" si="10"/>
        <v>0</v>
      </c>
    </row>
    <row r="52" spans="1:19" ht="18.75" x14ac:dyDescent="0.25">
      <c r="A52" s="21">
        <v>38</v>
      </c>
      <c r="B52" s="7">
        <f>'القائمة الإسمية للمترشحين'!F52</f>
        <v>0</v>
      </c>
      <c r="C52" s="2">
        <v>0</v>
      </c>
      <c r="D52" s="2">
        <v>0</v>
      </c>
      <c r="E52" s="4" t="str">
        <f t="shared" si="1"/>
        <v xml:space="preserve"> </v>
      </c>
      <c r="F52" s="2">
        <v>0</v>
      </c>
      <c r="G52" s="90">
        <f t="shared" si="2"/>
        <v>0</v>
      </c>
      <c r="H52" s="90">
        <f t="shared" si="3"/>
        <v>0</v>
      </c>
      <c r="I52" s="90">
        <f t="shared" si="4"/>
        <v>0</v>
      </c>
      <c r="J52" s="90">
        <f t="shared" si="5"/>
        <v>0</v>
      </c>
      <c r="K52" s="91" t="str">
        <f t="shared" si="11"/>
        <v xml:space="preserve"> </v>
      </c>
      <c r="L52" s="46">
        <f t="shared" si="6"/>
        <v>0</v>
      </c>
      <c r="P52" s="161">
        <f t="shared" si="7"/>
        <v>0</v>
      </c>
      <c r="Q52" s="158">
        <f t="shared" si="8"/>
        <v>0</v>
      </c>
      <c r="R52" s="158">
        <f t="shared" si="9"/>
        <v>0</v>
      </c>
      <c r="S52" s="158">
        <f t="shared" si="10"/>
        <v>0</v>
      </c>
    </row>
    <row r="53" spans="1:19" ht="18.75" x14ac:dyDescent="0.25">
      <c r="A53" s="21">
        <v>39</v>
      </c>
      <c r="B53" s="7">
        <f>'القائمة الإسمية للمترشحين'!F53</f>
        <v>0</v>
      </c>
      <c r="C53" s="2">
        <v>0</v>
      </c>
      <c r="D53" s="2">
        <v>0</v>
      </c>
      <c r="E53" s="4" t="str">
        <f t="shared" si="1"/>
        <v xml:space="preserve"> </v>
      </c>
      <c r="F53" s="2">
        <v>0</v>
      </c>
      <c r="G53" s="90">
        <f t="shared" si="2"/>
        <v>0</v>
      </c>
      <c r="H53" s="90">
        <f t="shared" si="3"/>
        <v>0</v>
      </c>
      <c r="I53" s="90">
        <f t="shared" si="4"/>
        <v>0</v>
      </c>
      <c r="J53" s="90">
        <f t="shared" si="5"/>
        <v>0</v>
      </c>
      <c r="K53" s="91" t="str">
        <f t="shared" si="11"/>
        <v xml:space="preserve"> </v>
      </c>
      <c r="L53" s="46">
        <f t="shared" si="6"/>
        <v>0</v>
      </c>
      <c r="P53" s="161">
        <f t="shared" si="7"/>
        <v>0</v>
      </c>
      <c r="Q53" s="158">
        <f t="shared" si="8"/>
        <v>0</v>
      </c>
      <c r="R53" s="158">
        <f t="shared" si="9"/>
        <v>0</v>
      </c>
      <c r="S53" s="158">
        <f t="shared" si="10"/>
        <v>0</v>
      </c>
    </row>
    <row r="54" spans="1:19" ht="18.75" x14ac:dyDescent="0.25">
      <c r="A54" s="21">
        <v>40</v>
      </c>
      <c r="B54" s="7">
        <f>'القائمة الإسمية للمترشحين'!F54</f>
        <v>0</v>
      </c>
      <c r="C54" s="2">
        <v>0</v>
      </c>
      <c r="D54" s="2">
        <v>0</v>
      </c>
      <c r="E54" s="4" t="str">
        <f t="shared" si="1"/>
        <v xml:space="preserve"> </v>
      </c>
      <c r="F54" s="2">
        <v>0</v>
      </c>
      <c r="G54" s="90">
        <f t="shared" si="2"/>
        <v>0</v>
      </c>
      <c r="H54" s="90">
        <f t="shared" si="3"/>
        <v>0</v>
      </c>
      <c r="I54" s="90">
        <f t="shared" si="4"/>
        <v>0</v>
      </c>
      <c r="J54" s="90">
        <f t="shared" si="5"/>
        <v>0</v>
      </c>
      <c r="K54" s="91" t="str">
        <f t="shared" si="11"/>
        <v xml:space="preserve"> </v>
      </c>
      <c r="L54" s="46">
        <f t="shared" si="6"/>
        <v>0</v>
      </c>
      <c r="P54" s="161">
        <f t="shared" si="7"/>
        <v>0</v>
      </c>
      <c r="Q54" s="158">
        <f t="shared" si="8"/>
        <v>0</v>
      </c>
      <c r="R54" s="158">
        <f t="shared" si="9"/>
        <v>0</v>
      </c>
      <c r="S54" s="158">
        <f t="shared" si="10"/>
        <v>0</v>
      </c>
    </row>
    <row r="55" spans="1:19" ht="18.75" x14ac:dyDescent="0.25">
      <c r="A55" s="21">
        <v>41</v>
      </c>
      <c r="B55" s="7">
        <f>'القائمة الإسمية للمترشحين'!F55</f>
        <v>0</v>
      </c>
      <c r="C55" s="2">
        <v>0</v>
      </c>
      <c r="D55" s="2">
        <v>0</v>
      </c>
      <c r="E55" s="4" t="str">
        <f t="shared" si="1"/>
        <v xml:space="preserve"> </v>
      </c>
      <c r="F55" s="2">
        <v>0</v>
      </c>
      <c r="G55" s="90">
        <f t="shared" si="2"/>
        <v>0</v>
      </c>
      <c r="H55" s="90">
        <f t="shared" si="3"/>
        <v>0</v>
      </c>
      <c r="I55" s="90">
        <f t="shared" si="4"/>
        <v>0</v>
      </c>
      <c r="J55" s="90">
        <f t="shared" si="5"/>
        <v>0</v>
      </c>
      <c r="K55" s="91" t="str">
        <f t="shared" si="11"/>
        <v xml:space="preserve"> </v>
      </c>
      <c r="L55" s="46">
        <f t="shared" si="6"/>
        <v>0</v>
      </c>
      <c r="P55" s="161">
        <f t="shared" si="7"/>
        <v>0</v>
      </c>
      <c r="Q55" s="158">
        <f t="shared" si="8"/>
        <v>0</v>
      </c>
      <c r="R55" s="158">
        <f t="shared" si="9"/>
        <v>0</v>
      </c>
      <c r="S55" s="158">
        <f t="shared" si="10"/>
        <v>0</v>
      </c>
    </row>
    <row r="56" spans="1:19" ht="18.75" x14ac:dyDescent="0.25">
      <c r="A56" s="21">
        <v>42</v>
      </c>
      <c r="B56" s="7">
        <f>'القائمة الإسمية للمترشحين'!F56</f>
        <v>0</v>
      </c>
      <c r="C56" s="2">
        <v>0</v>
      </c>
      <c r="D56" s="2">
        <v>0</v>
      </c>
      <c r="E56" s="4" t="str">
        <f t="shared" si="1"/>
        <v xml:space="preserve"> </v>
      </c>
      <c r="F56" s="2">
        <v>0</v>
      </c>
      <c r="G56" s="90">
        <f t="shared" si="2"/>
        <v>0</v>
      </c>
      <c r="H56" s="90">
        <f t="shared" si="3"/>
        <v>0</v>
      </c>
      <c r="I56" s="90">
        <f t="shared" si="4"/>
        <v>0</v>
      </c>
      <c r="J56" s="90">
        <f t="shared" si="5"/>
        <v>0</v>
      </c>
      <c r="K56" s="91" t="str">
        <f t="shared" si="11"/>
        <v xml:space="preserve"> </v>
      </c>
      <c r="L56" s="46">
        <f t="shared" si="6"/>
        <v>0</v>
      </c>
      <c r="P56" s="161">
        <f t="shared" si="7"/>
        <v>0</v>
      </c>
      <c r="Q56" s="158">
        <f t="shared" si="8"/>
        <v>0</v>
      </c>
      <c r="R56" s="158">
        <f t="shared" si="9"/>
        <v>0</v>
      </c>
      <c r="S56" s="158">
        <f t="shared" si="10"/>
        <v>0</v>
      </c>
    </row>
    <row r="57" spans="1:19" ht="18.75" x14ac:dyDescent="0.25">
      <c r="A57" s="21">
        <v>43</v>
      </c>
      <c r="B57" s="7">
        <f>'القائمة الإسمية للمترشحين'!F57</f>
        <v>0</v>
      </c>
      <c r="C57" s="2">
        <v>0</v>
      </c>
      <c r="D57" s="2">
        <v>0</v>
      </c>
      <c r="E57" s="4" t="str">
        <f t="shared" si="1"/>
        <v xml:space="preserve"> </v>
      </c>
      <c r="F57" s="2">
        <v>0</v>
      </c>
      <c r="G57" s="90">
        <f t="shared" si="2"/>
        <v>0</v>
      </c>
      <c r="H57" s="90">
        <f t="shared" si="3"/>
        <v>0</v>
      </c>
      <c r="I57" s="90">
        <f t="shared" si="4"/>
        <v>0</v>
      </c>
      <c r="J57" s="90">
        <f t="shared" si="5"/>
        <v>0</v>
      </c>
      <c r="K57" s="91" t="str">
        <f t="shared" si="11"/>
        <v xml:space="preserve"> </v>
      </c>
      <c r="L57" s="46">
        <f t="shared" si="6"/>
        <v>0</v>
      </c>
      <c r="P57" s="161">
        <f t="shared" si="7"/>
        <v>0</v>
      </c>
      <c r="Q57" s="158">
        <f t="shared" si="8"/>
        <v>0</v>
      </c>
      <c r="R57" s="158">
        <f t="shared" si="9"/>
        <v>0</v>
      </c>
      <c r="S57" s="158">
        <f t="shared" si="10"/>
        <v>0</v>
      </c>
    </row>
    <row r="58" spans="1:19" ht="18.75" x14ac:dyDescent="0.25">
      <c r="A58" s="21">
        <v>44</v>
      </c>
      <c r="B58" s="7">
        <f>'القائمة الإسمية للمترشحين'!F58</f>
        <v>0</v>
      </c>
      <c r="C58" s="2">
        <v>0</v>
      </c>
      <c r="D58" s="2">
        <v>0</v>
      </c>
      <c r="E58" s="4" t="str">
        <f t="shared" si="1"/>
        <v xml:space="preserve"> </v>
      </c>
      <c r="F58" s="2">
        <v>0</v>
      </c>
      <c r="G58" s="90">
        <f t="shared" si="2"/>
        <v>0</v>
      </c>
      <c r="H58" s="90">
        <f t="shared" si="3"/>
        <v>0</v>
      </c>
      <c r="I58" s="90">
        <f t="shared" si="4"/>
        <v>0</v>
      </c>
      <c r="J58" s="90">
        <f t="shared" si="5"/>
        <v>0</v>
      </c>
      <c r="K58" s="91" t="str">
        <f t="shared" si="11"/>
        <v xml:space="preserve"> </v>
      </c>
      <c r="L58" s="46">
        <f t="shared" si="6"/>
        <v>0</v>
      </c>
      <c r="P58" s="161">
        <f t="shared" si="7"/>
        <v>0</v>
      </c>
      <c r="Q58" s="158">
        <f t="shared" si="8"/>
        <v>0</v>
      </c>
      <c r="R58" s="158">
        <f t="shared" si="9"/>
        <v>0</v>
      </c>
      <c r="S58" s="158">
        <f t="shared" si="10"/>
        <v>0</v>
      </c>
    </row>
    <row r="59" spans="1:19" ht="18.75" x14ac:dyDescent="0.25">
      <c r="A59" s="21">
        <v>45</v>
      </c>
      <c r="B59" s="7">
        <f>'القائمة الإسمية للمترشحين'!F59</f>
        <v>0</v>
      </c>
      <c r="C59" s="2">
        <v>0</v>
      </c>
      <c r="D59" s="2">
        <v>0</v>
      </c>
      <c r="E59" s="4" t="str">
        <f t="shared" si="1"/>
        <v xml:space="preserve"> </v>
      </c>
      <c r="F59" s="2">
        <v>0</v>
      </c>
      <c r="G59" s="90">
        <f t="shared" si="2"/>
        <v>0</v>
      </c>
      <c r="H59" s="90">
        <f t="shared" si="3"/>
        <v>0</v>
      </c>
      <c r="I59" s="90">
        <f t="shared" si="4"/>
        <v>0</v>
      </c>
      <c r="J59" s="90">
        <f t="shared" si="5"/>
        <v>0</v>
      </c>
      <c r="K59" s="91" t="str">
        <f t="shared" si="11"/>
        <v xml:space="preserve"> </v>
      </c>
      <c r="L59" s="46">
        <f t="shared" si="6"/>
        <v>0</v>
      </c>
      <c r="P59" s="161">
        <f t="shared" si="7"/>
        <v>0</v>
      </c>
      <c r="Q59" s="158">
        <f t="shared" si="8"/>
        <v>0</v>
      </c>
      <c r="R59" s="158">
        <f t="shared" si="9"/>
        <v>0</v>
      </c>
      <c r="S59" s="158">
        <f t="shared" si="10"/>
        <v>0</v>
      </c>
    </row>
    <row r="60" spans="1:19" ht="18.75" x14ac:dyDescent="0.25">
      <c r="A60" s="21">
        <v>46</v>
      </c>
      <c r="B60" s="7">
        <f>'القائمة الإسمية للمترشحين'!F60</f>
        <v>0</v>
      </c>
      <c r="C60" s="2">
        <v>0</v>
      </c>
      <c r="D60" s="2">
        <v>0</v>
      </c>
      <c r="E60" s="4" t="str">
        <f t="shared" si="1"/>
        <v xml:space="preserve"> </v>
      </c>
      <c r="F60" s="2">
        <v>0</v>
      </c>
      <c r="G60" s="90">
        <f t="shared" si="2"/>
        <v>0</v>
      </c>
      <c r="H60" s="90">
        <f t="shared" si="3"/>
        <v>0</v>
      </c>
      <c r="I60" s="90">
        <f t="shared" si="4"/>
        <v>0</v>
      </c>
      <c r="J60" s="90">
        <f t="shared" si="5"/>
        <v>0</v>
      </c>
      <c r="K60" s="91" t="str">
        <f t="shared" si="11"/>
        <v xml:space="preserve"> </v>
      </c>
      <c r="L60" s="46">
        <f t="shared" si="6"/>
        <v>0</v>
      </c>
      <c r="P60" s="161">
        <f t="shared" si="7"/>
        <v>0</v>
      </c>
      <c r="Q60" s="158">
        <f t="shared" si="8"/>
        <v>0</v>
      </c>
      <c r="R60" s="158">
        <f t="shared" si="9"/>
        <v>0</v>
      </c>
      <c r="S60" s="158">
        <f t="shared" si="10"/>
        <v>0</v>
      </c>
    </row>
    <row r="61" spans="1:19" ht="18.75" x14ac:dyDescent="0.25">
      <c r="A61" s="21">
        <v>47</v>
      </c>
      <c r="B61" s="7">
        <f>'القائمة الإسمية للمترشحين'!F61</f>
        <v>0</v>
      </c>
      <c r="C61" s="2">
        <v>0</v>
      </c>
      <c r="D61" s="2">
        <v>0</v>
      </c>
      <c r="E61" s="4" t="str">
        <f t="shared" si="1"/>
        <v xml:space="preserve"> </v>
      </c>
      <c r="F61" s="2">
        <v>0</v>
      </c>
      <c r="G61" s="90">
        <f t="shared" si="2"/>
        <v>0</v>
      </c>
      <c r="H61" s="90">
        <f t="shared" si="3"/>
        <v>0</v>
      </c>
      <c r="I61" s="90">
        <f t="shared" si="4"/>
        <v>0</v>
      </c>
      <c r="J61" s="90">
        <f t="shared" si="5"/>
        <v>0</v>
      </c>
      <c r="K61" s="91" t="str">
        <f t="shared" si="11"/>
        <v xml:space="preserve"> </v>
      </c>
      <c r="L61" s="46">
        <f t="shared" si="6"/>
        <v>0</v>
      </c>
      <c r="P61" s="161">
        <f t="shared" si="7"/>
        <v>0</v>
      </c>
      <c r="Q61" s="158">
        <f t="shared" si="8"/>
        <v>0</v>
      </c>
      <c r="R61" s="158">
        <f t="shared" si="9"/>
        <v>0</v>
      </c>
      <c r="S61" s="158">
        <f t="shared" si="10"/>
        <v>0</v>
      </c>
    </row>
    <row r="62" spans="1:19" ht="18.75" x14ac:dyDescent="0.25">
      <c r="A62" s="21">
        <v>48</v>
      </c>
      <c r="B62" s="7">
        <f>'القائمة الإسمية للمترشحين'!F62</f>
        <v>0</v>
      </c>
      <c r="C62" s="2">
        <v>0</v>
      </c>
      <c r="D62" s="2">
        <v>0</v>
      </c>
      <c r="E62" s="4" t="str">
        <f t="shared" si="1"/>
        <v xml:space="preserve"> </v>
      </c>
      <c r="F62" s="2">
        <v>0</v>
      </c>
      <c r="G62" s="90">
        <f t="shared" si="2"/>
        <v>0</v>
      </c>
      <c r="H62" s="90">
        <f t="shared" si="3"/>
        <v>0</v>
      </c>
      <c r="I62" s="90">
        <f t="shared" si="4"/>
        <v>0</v>
      </c>
      <c r="J62" s="90">
        <f t="shared" si="5"/>
        <v>0</v>
      </c>
      <c r="K62" s="91" t="str">
        <f t="shared" si="11"/>
        <v xml:space="preserve"> </v>
      </c>
      <c r="L62" s="46">
        <f t="shared" si="6"/>
        <v>0</v>
      </c>
      <c r="P62" s="161">
        <f t="shared" si="7"/>
        <v>0</v>
      </c>
      <c r="Q62" s="158">
        <f t="shared" si="8"/>
        <v>0</v>
      </c>
      <c r="R62" s="158">
        <f t="shared" si="9"/>
        <v>0</v>
      </c>
      <c r="S62" s="158">
        <f t="shared" si="10"/>
        <v>0</v>
      </c>
    </row>
    <row r="63" spans="1:19" ht="18.75" x14ac:dyDescent="0.25">
      <c r="A63" s="21">
        <v>49</v>
      </c>
      <c r="B63" s="7">
        <f>'القائمة الإسمية للمترشحين'!F63</f>
        <v>0</v>
      </c>
      <c r="C63" s="2">
        <v>0</v>
      </c>
      <c r="D63" s="2">
        <v>0</v>
      </c>
      <c r="E63" s="4" t="str">
        <f t="shared" si="1"/>
        <v xml:space="preserve"> </v>
      </c>
      <c r="F63" s="2">
        <v>0</v>
      </c>
      <c r="G63" s="90">
        <f t="shared" si="2"/>
        <v>0</v>
      </c>
      <c r="H63" s="90">
        <f t="shared" si="3"/>
        <v>0</v>
      </c>
      <c r="I63" s="90">
        <f t="shared" si="4"/>
        <v>0</v>
      </c>
      <c r="J63" s="90">
        <f t="shared" si="5"/>
        <v>0</v>
      </c>
      <c r="K63" s="91" t="str">
        <f t="shared" si="11"/>
        <v xml:space="preserve"> </v>
      </c>
      <c r="L63" s="46">
        <f t="shared" si="6"/>
        <v>0</v>
      </c>
      <c r="M63" s="47" t="s">
        <v>19</v>
      </c>
      <c r="P63" s="161">
        <f t="shared" si="7"/>
        <v>0</v>
      </c>
      <c r="Q63" s="158">
        <f t="shared" si="8"/>
        <v>0</v>
      </c>
      <c r="R63" s="158">
        <f t="shared" si="9"/>
        <v>0</v>
      </c>
      <c r="S63" s="158">
        <f t="shared" si="10"/>
        <v>0</v>
      </c>
    </row>
    <row r="64" spans="1:19" ht="18.75" x14ac:dyDescent="0.25">
      <c r="A64" s="21">
        <v>50</v>
      </c>
      <c r="B64" s="7">
        <f>'القائمة الإسمية للمترشحين'!F64</f>
        <v>0</v>
      </c>
      <c r="C64" s="2">
        <v>0</v>
      </c>
      <c r="D64" s="2">
        <v>0</v>
      </c>
      <c r="E64" s="4" t="str">
        <f t="shared" si="1"/>
        <v xml:space="preserve"> </v>
      </c>
      <c r="F64" s="2">
        <v>0</v>
      </c>
      <c r="G64" s="90">
        <f t="shared" si="2"/>
        <v>0</v>
      </c>
      <c r="H64" s="90">
        <f t="shared" si="3"/>
        <v>0</v>
      </c>
      <c r="I64" s="90">
        <f t="shared" si="4"/>
        <v>0</v>
      </c>
      <c r="J64" s="90">
        <f t="shared" si="5"/>
        <v>0</v>
      </c>
      <c r="K64" s="91" t="str">
        <f t="shared" si="11"/>
        <v xml:space="preserve"> </v>
      </c>
      <c r="L64" s="46">
        <f t="shared" si="6"/>
        <v>0</v>
      </c>
      <c r="P64" s="161">
        <f t="shared" si="7"/>
        <v>0</v>
      </c>
      <c r="Q64" s="158">
        <f t="shared" si="8"/>
        <v>0</v>
      </c>
      <c r="R64" s="158">
        <f t="shared" si="9"/>
        <v>0</v>
      </c>
      <c r="S64" s="158">
        <f t="shared" si="10"/>
        <v>0</v>
      </c>
    </row>
    <row r="65" spans="1:19" ht="18.75" x14ac:dyDescent="0.25">
      <c r="A65" s="21">
        <v>51</v>
      </c>
      <c r="B65" s="7">
        <f>'القائمة الإسمية للمترشحين'!F65</f>
        <v>0</v>
      </c>
      <c r="C65" s="2">
        <v>0</v>
      </c>
      <c r="D65" s="2">
        <v>0</v>
      </c>
      <c r="E65" s="4" t="str">
        <f t="shared" si="1"/>
        <v xml:space="preserve"> </v>
      </c>
      <c r="F65" s="2">
        <v>0</v>
      </c>
      <c r="G65" s="90">
        <f t="shared" si="2"/>
        <v>0</v>
      </c>
      <c r="H65" s="90">
        <f t="shared" si="3"/>
        <v>0</v>
      </c>
      <c r="I65" s="90">
        <f t="shared" si="4"/>
        <v>0</v>
      </c>
      <c r="J65" s="90">
        <f t="shared" si="5"/>
        <v>0</v>
      </c>
      <c r="K65" s="91" t="str">
        <f t="shared" si="11"/>
        <v xml:space="preserve"> </v>
      </c>
      <c r="L65" s="46">
        <f t="shared" si="6"/>
        <v>0</v>
      </c>
      <c r="P65" s="161">
        <f t="shared" si="7"/>
        <v>0</v>
      </c>
      <c r="Q65" s="158">
        <f t="shared" si="8"/>
        <v>0</v>
      </c>
      <c r="R65" s="158">
        <f t="shared" si="9"/>
        <v>0</v>
      </c>
      <c r="S65" s="158">
        <f t="shared" si="10"/>
        <v>0</v>
      </c>
    </row>
    <row r="68" spans="1:19" x14ac:dyDescent="0.25">
      <c r="L68" s="48" t="s">
        <v>34</v>
      </c>
    </row>
  </sheetData>
  <sortState xmlns:xlrd2="http://schemas.microsoft.com/office/spreadsheetml/2017/richdata2" ref="A17:E76">
    <sortCondition ref="A17"/>
  </sortState>
  <mergeCells count="8">
    <mergeCell ref="A12:A13"/>
    <mergeCell ref="A5:M5"/>
    <mergeCell ref="A10:L10"/>
    <mergeCell ref="A7:L7"/>
    <mergeCell ref="B6:L6"/>
    <mergeCell ref="A11:X11"/>
    <mergeCell ref="C12:L12"/>
    <mergeCell ref="C13:L13"/>
  </mergeCells>
  <printOptions horizontalCentered="1"/>
  <pageMargins left="0.70866141732283472" right="0.70866141732283472" top="0.55118110236220474" bottom="0.55118110236220474" header="0.31496062992125984" footer="0.31496062992125984"/>
  <pageSetup paperSize="9" scale="65" orientation="portrait" verticalDpi="0" r:id="rId1"/>
  <headerFooter>
    <oddFooter xml:space="preserve">&amp;L&amp;P&amp;Rمحضر تصحيح الامتحان الأول مسابقة الدكتوراه </oddFooter>
  </headerFooter>
  <rowBreaks count="1" manualBreakCount="1">
    <brk id="59"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8"/>
  <sheetViews>
    <sheetView rightToLeft="1" topLeftCell="A26" zoomScaleSheetLayoutView="110" workbookViewId="0">
      <selection activeCell="L15" sqref="L15"/>
    </sheetView>
  </sheetViews>
  <sheetFormatPr defaultColWidth="11" defaultRowHeight="15" x14ac:dyDescent="0.25"/>
  <cols>
    <col min="1" max="1" width="5.85546875" style="56" customWidth="1"/>
    <col min="2" max="2" width="17.28515625" style="1" customWidth="1"/>
    <col min="3" max="3" width="13.42578125" style="1" customWidth="1"/>
    <col min="4" max="4" width="11.7109375" style="1" customWidth="1"/>
    <col min="5" max="5" width="17.140625" style="1" customWidth="1"/>
    <col min="6" max="6" width="15" style="1" customWidth="1"/>
    <col min="7" max="7" width="16.140625" style="92" hidden="1" customWidth="1"/>
    <col min="8" max="8" width="10.7109375" style="92" hidden="1" customWidth="1"/>
    <col min="9" max="10" width="10.140625" style="92" hidden="1" customWidth="1"/>
    <col min="11" max="11" width="14.140625" style="92" hidden="1" customWidth="1"/>
    <col min="12" max="12" width="18.28515625" style="1" customWidth="1"/>
    <col min="13" max="13" width="17.42578125" style="56" customWidth="1"/>
    <col min="14" max="14" width="9.7109375" style="1" customWidth="1"/>
    <col min="15" max="15" width="20.85546875" style="1" customWidth="1"/>
    <col min="16" max="16" width="10.5703125" style="1" hidden="1" customWidth="1"/>
    <col min="17" max="17" width="8.5703125" style="1" hidden="1" customWidth="1"/>
    <col min="18" max="18" width="8.7109375" style="56" hidden="1" customWidth="1"/>
    <col min="19" max="19" width="7.7109375" style="56" hidden="1" customWidth="1"/>
    <col min="20" max="20" width="28.85546875" style="56" customWidth="1"/>
    <col min="21" max="21" width="9" style="1" customWidth="1"/>
    <col min="22" max="22" width="16.85546875" style="1" customWidth="1"/>
    <col min="23" max="23" width="11" style="1" customWidth="1"/>
    <col min="24" max="24" width="13" style="1" customWidth="1"/>
    <col min="25" max="25" width="3.42578125" style="1" customWidth="1"/>
    <col min="26" max="26" width="11" style="1"/>
    <col min="27" max="27" width="2.42578125" style="1" customWidth="1"/>
    <col min="28" max="16384" width="11" style="1"/>
  </cols>
  <sheetData>
    <row r="1" spans="1:28" customFormat="1" ht="22.5" customHeight="1" x14ac:dyDescent="0.25">
      <c r="A1" s="28" t="s">
        <v>10</v>
      </c>
      <c r="B1" s="28"/>
      <c r="C1" s="28"/>
      <c r="D1" s="28"/>
      <c r="E1" s="28"/>
      <c r="F1" s="28"/>
      <c r="G1" s="28"/>
      <c r="H1" s="28"/>
      <c r="I1" s="28"/>
      <c r="J1" s="28"/>
      <c r="K1" s="28"/>
      <c r="L1" s="28"/>
      <c r="M1" s="28"/>
      <c r="N1" s="28"/>
      <c r="O1" s="28"/>
      <c r="P1" s="28"/>
      <c r="Q1" s="28"/>
      <c r="R1" s="28"/>
      <c r="S1" s="28"/>
      <c r="T1" s="28"/>
      <c r="U1" s="28"/>
      <c r="V1" s="28"/>
      <c r="W1" s="28"/>
      <c r="X1" s="28"/>
      <c r="Y1" s="29"/>
      <c r="Z1" s="29"/>
      <c r="AA1" s="29"/>
      <c r="AB1" s="29"/>
    </row>
    <row r="2" spans="1:28" customFormat="1" ht="22.5" customHeight="1" x14ac:dyDescent="0.25">
      <c r="A2" s="28" t="s">
        <v>11</v>
      </c>
      <c r="B2" s="28"/>
      <c r="C2" s="28"/>
      <c r="D2" s="28"/>
      <c r="E2" s="28"/>
      <c r="F2" s="28"/>
      <c r="G2" s="28"/>
      <c r="H2" s="28"/>
      <c r="I2" s="28"/>
      <c r="J2" s="28"/>
      <c r="K2" s="28"/>
      <c r="L2" s="28"/>
      <c r="M2" s="28"/>
      <c r="N2" s="28"/>
      <c r="O2" s="28"/>
      <c r="P2" s="28"/>
      <c r="Q2" s="28"/>
      <c r="R2" s="28"/>
      <c r="S2" s="28"/>
      <c r="T2" s="28"/>
      <c r="U2" s="28"/>
      <c r="V2" s="28"/>
      <c r="W2" s="28"/>
      <c r="X2" s="28"/>
      <c r="Y2" s="29"/>
      <c r="Z2" s="29"/>
      <c r="AA2" s="29"/>
      <c r="AB2" s="29"/>
    </row>
    <row r="3" spans="1:28" customFormat="1" ht="22.5" customHeight="1" x14ac:dyDescent="0.25">
      <c r="A3" s="30" t="s">
        <v>12</v>
      </c>
      <c r="B3" s="30"/>
      <c r="C3" s="30"/>
      <c r="D3" s="30"/>
      <c r="E3" s="30"/>
      <c r="F3" s="30"/>
      <c r="G3" s="30"/>
      <c r="H3" s="30"/>
      <c r="I3" s="30"/>
      <c r="J3" s="30"/>
      <c r="K3" s="30"/>
      <c r="L3" s="30"/>
      <c r="M3" s="30"/>
      <c r="N3" s="30"/>
      <c r="O3" s="30"/>
      <c r="P3" s="30"/>
      <c r="Q3" s="30"/>
      <c r="R3" s="30"/>
      <c r="S3" s="30"/>
      <c r="T3" s="30"/>
      <c r="U3" s="30"/>
      <c r="V3" s="30"/>
      <c r="W3" s="30"/>
      <c r="X3" s="30"/>
      <c r="Y3" s="29"/>
      <c r="Z3" s="29"/>
      <c r="AA3" s="29"/>
      <c r="AB3" s="29"/>
    </row>
    <row r="4" spans="1:28" customFormat="1" ht="22.5" customHeight="1" x14ac:dyDescent="0.25">
      <c r="A4" s="30" t="s">
        <v>15</v>
      </c>
      <c r="B4" s="30"/>
      <c r="C4" s="30"/>
      <c r="D4" s="30"/>
      <c r="E4" s="30"/>
      <c r="F4" s="30"/>
      <c r="G4" s="30"/>
      <c r="H4" s="30"/>
      <c r="I4" s="30"/>
      <c r="J4" s="30"/>
      <c r="K4" s="30"/>
      <c r="L4" s="30"/>
      <c r="M4" s="30"/>
      <c r="N4" s="30"/>
      <c r="O4" s="30"/>
      <c r="P4" s="30"/>
      <c r="Q4" s="30"/>
      <c r="R4" s="30"/>
      <c r="S4" s="30"/>
      <c r="T4" s="30"/>
      <c r="U4" s="30"/>
      <c r="V4" s="30"/>
      <c r="W4" s="30"/>
      <c r="X4" s="30"/>
      <c r="Y4" s="29"/>
      <c r="Z4" s="29"/>
      <c r="AA4" s="29"/>
      <c r="AB4" s="29"/>
    </row>
    <row r="5" spans="1:28" customFormat="1" ht="22.5" customHeight="1" x14ac:dyDescent="0.25">
      <c r="A5" s="178"/>
      <c r="B5" s="178"/>
      <c r="C5" s="178"/>
      <c r="D5" s="178"/>
      <c r="E5" s="178"/>
      <c r="F5" s="178"/>
      <c r="G5" s="178"/>
      <c r="H5" s="178"/>
      <c r="I5" s="178"/>
      <c r="J5" s="178"/>
      <c r="K5" s="178"/>
      <c r="L5" s="178"/>
      <c r="M5" s="178"/>
      <c r="N5" s="29"/>
      <c r="O5" s="29"/>
      <c r="P5" s="29"/>
      <c r="Q5" s="29"/>
      <c r="R5" s="29"/>
      <c r="S5" s="29"/>
      <c r="T5" s="29"/>
      <c r="U5" s="29"/>
      <c r="V5" s="29"/>
      <c r="W5" s="29"/>
      <c r="X5" s="29"/>
      <c r="Y5" s="29"/>
      <c r="Z5" s="29"/>
      <c r="AA5" s="29"/>
      <c r="AB5" s="29"/>
    </row>
    <row r="6" spans="1:28" customFormat="1" ht="22.5" customHeight="1" x14ac:dyDescent="0.25">
      <c r="A6" s="158"/>
      <c r="B6" s="179" t="s">
        <v>13</v>
      </c>
      <c r="C6" s="179"/>
      <c r="D6" s="179"/>
      <c r="E6" s="179"/>
      <c r="F6" s="179"/>
      <c r="G6" s="179"/>
      <c r="H6" s="179"/>
      <c r="I6" s="179"/>
      <c r="J6" s="179"/>
      <c r="K6" s="179"/>
      <c r="L6" s="179"/>
      <c r="M6" s="32"/>
      <c r="N6" s="32"/>
      <c r="O6" s="32"/>
      <c r="P6" s="32"/>
      <c r="Q6" s="32"/>
      <c r="R6" s="32"/>
      <c r="S6" s="32"/>
      <c r="T6" s="32"/>
      <c r="U6" s="32"/>
      <c r="V6" s="32"/>
      <c r="W6" s="32"/>
      <c r="X6" s="32"/>
      <c r="Y6" s="29"/>
      <c r="Z6" s="29"/>
      <c r="AA6" s="29"/>
      <c r="AB6" s="29"/>
    </row>
    <row r="7" spans="1:28" customFormat="1" ht="22.5" customHeight="1" x14ac:dyDescent="0.25">
      <c r="A7" s="180" t="s">
        <v>14</v>
      </c>
      <c r="B7" s="180"/>
      <c r="C7" s="180"/>
      <c r="D7" s="180"/>
      <c r="E7" s="180"/>
      <c r="F7" s="180"/>
      <c r="G7" s="180"/>
      <c r="H7" s="180"/>
      <c r="I7" s="180"/>
      <c r="J7" s="180"/>
      <c r="K7" s="180"/>
      <c r="L7" s="180"/>
      <c r="M7" s="33"/>
      <c r="N7" s="33"/>
      <c r="O7" s="33"/>
      <c r="P7" s="33"/>
      <c r="Q7" s="33"/>
      <c r="R7" s="33"/>
      <c r="S7" s="33"/>
      <c r="T7" s="33"/>
      <c r="U7" s="33"/>
      <c r="V7" s="33"/>
      <c r="W7" s="33"/>
      <c r="X7" s="33"/>
      <c r="Y7" s="29"/>
      <c r="Z7" s="29"/>
      <c r="AA7" s="29"/>
      <c r="AB7" s="29"/>
    </row>
    <row r="8" spans="1:28" customFormat="1" ht="22.5" customHeight="1" x14ac:dyDescent="0.25">
      <c r="A8" s="158"/>
      <c r="B8" s="28" t="s">
        <v>16</v>
      </c>
      <c r="C8" s="28"/>
      <c r="D8" s="28"/>
      <c r="E8" s="28"/>
      <c r="F8" s="28"/>
      <c r="G8" s="28"/>
      <c r="H8" s="28"/>
      <c r="I8" s="28"/>
      <c r="J8" s="28"/>
      <c r="K8" s="28"/>
      <c r="L8" s="28"/>
      <c r="M8" s="28"/>
      <c r="N8" s="28"/>
      <c r="O8" s="28"/>
      <c r="P8" s="28"/>
      <c r="Q8" s="28"/>
      <c r="R8" s="28"/>
      <c r="S8" s="28"/>
      <c r="T8" s="28"/>
      <c r="U8" s="28"/>
      <c r="V8" s="28"/>
      <c r="W8" s="28"/>
      <c r="X8" s="28"/>
      <c r="Y8" s="29"/>
      <c r="Z8" s="29"/>
      <c r="AA8" s="29"/>
      <c r="AB8" s="29"/>
    </row>
    <row r="9" spans="1:28" customFormat="1" ht="9" customHeight="1" x14ac:dyDescent="0.25">
      <c r="A9" s="36"/>
      <c r="B9" s="36"/>
      <c r="C9" s="36"/>
      <c r="D9" s="36"/>
      <c r="E9" s="36"/>
      <c r="F9" s="36"/>
      <c r="G9" s="36"/>
      <c r="H9" s="36"/>
      <c r="I9" s="36"/>
      <c r="J9" s="36"/>
      <c r="K9" s="36"/>
      <c r="L9" s="36"/>
      <c r="M9" s="29"/>
      <c r="N9" s="29"/>
      <c r="O9" s="29"/>
      <c r="P9" s="29"/>
      <c r="Q9" s="29"/>
      <c r="R9" s="29"/>
      <c r="S9" s="29"/>
      <c r="T9" s="29"/>
      <c r="U9" s="29"/>
      <c r="V9" s="29"/>
      <c r="W9" s="29"/>
      <c r="X9" s="29"/>
      <c r="Y9" s="29"/>
      <c r="Z9" s="29"/>
      <c r="AA9" s="29"/>
      <c r="AB9" s="29"/>
    </row>
    <row r="10" spans="1:28" customFormat="1" ht="22.5" customHeight="1" x14ac:dyDescent="0.25">
      <c r="A10" s="158"/>
      <c r="B10" s="181" t="s">
        <v>85</v>
      </c>
      <c r="C10" s="181"/>
      <c r="D10" s="181"/>
      <c r="E10" s="181"/>
      <c r="F10" s="181"/>
      <c r="G10" s="181"/>
      <c r="H10" s="181"/>
      <c r="I10" s="181"/>
      <c r="J10" s="181"/>
      <c r="K10" s="181"/>
      <c r="L10" s="181"/>
      <c r="M10" s="35"/>
      <c r="N10" s="35"/>
      <c r="O10" s="35"/>
      <c r="P10" s="35"/>
      <c r="Q10" s="35"/>
      <c r="R10" s="35"/>
      <c r="S10" s="35"/>
      <c r="T10" s="35"/>
      <c r="U10" s="35"/>
      <c r="V10" s="35"/>
      <c r="W10" s="35"/>
      <c r="X10" s="35"/>
      <c r="Y10" s="29"/>
      <c r="Z10" s="29"/>
      <c r="AA10" s="29"/>
      <c r="AB10" s="29"/>
    </row>
    <row r="11" spans="1:28" ht="16.5" customHeight="1" thickBot="1" x14ac:dyDescent="0.3">
      <c r="A11" s="172"/>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58"/>
      <c r="Z11" s="158"/>
      <c r="AA11" s="158"/>
      <c r="AB11" s="158"/>
    </row>
    <row r="12" spans="1:28" ht="23.25" x14ac:dyDescent="0.25">
      <c r="A12" s="176"/>
      <c r="B12" s="41" t="s">
        <v>8</v>
      </c>
      <c r="C12" s="145"/>
      <c r="D12" s="146" t="s">
        <v>0</v>
      </c>
      <c r="E12" s="146"/>
      <c r="F12" s="146"/>
      <c r="G12" s="147"/>
      <c r="H12" s="147"/>
      <c r="I12" s="147"/>
      <c r="J12" s="147"/>
      <c r="K12" s="147"/>
      <c r="L12" s="148"/>
      <c r="R12" s="1"/>
      <c r="S12" s="1"/>
      <c r="T12" s="1"/>
    </row>
    <row r="13" spans="1:28" ht="22.5" customHeight="1" thickBot="1" x14ac:dyDescent="0.3">
      <c r="A13" s="177"/>
      <c r="B13" s="42"/>
      <c r="C13" s="39"/>
      <c r="D13" s="40" t="s">
        <v>18</v>
      </c>
      <c r="E13" s="40"/>
      <c r="F13" s="40"/>
      <c r="G13" s="87"/>
      <c r="H13" s="87"/>
      <c r="I13" s="87"/>
      <c r="J13" s="87"/>
      <c r="K13" s="87"/>
      <c r="L13" s="149"/>
      <c r="R13" s="1"/>
      <c r="S13" s="1"/>
      <c r="T13" s="1"/>
    </row>
    <row r="14" spans="1:28" ht="24" customHeight="1" thickBot="1" x14ac:dyDescent="0.3">
      <c r="A14" s="49" t="s">
        <v>41</v>
      </c>
      <c r="B14" s="150" t="s">
        <v>40</v>
      </c>
      <c r="C14" s="151" t="s">
        <v>1</v>
      </c>
      <c r="D14" s="151" t="s">
        <v>9</v>
      </c>
      <c r="E14" s="152" t="s">
        <v>49</v>
      </c>
      <c r="F14" s="151" t="s">
        <v>2</v>
      </c>
      <c r="G14" s="153" t="s">
        <v>50</v>
      </c>
      <c r="H14" s="154" t="s">
        <v>52</v>
      </c>
      <c r="I14" s="154" t="s">
        <v>53</v>
      </c>
      <c r="J14" s="154" t="s">
        <v>94</v>
      </c>
      <c r="K14" s="154" t="s">
        <v>51</v>
      </c>
      <c r="L14" s="155" t="s">
        <v>3</v>
      </c>
      <c r="P14" s="1" t="s">
        <v>91</v>
      </c>
      <c r="Q14" s="1" t="s">
        <v>95</v>
      </c>
      <c r="R14" s="1" t="s">
        <v>53</v>
      </c>
      <c r="S14" s="1" t="s">
        <v>90</v>
      </c>
      <c r="T14" s="1"/>
    </row>
    <row r="15" spans="1:28" ht="22.5" customHeight="1" x14ac:dyDescent="0.25">
      <c r="A15" s="140">
        <v>1</v>
      </c>
      <c r="B15" s="9" t="str">
        <f>'القائمة الإسمية للمترشحين'!F15</f>
        <v>G201</v>
      </c>
      <c r="C15" s="10">
        <v>0</v>
      </c>
      <c r="D15" s="10">
        <v>0</v>
      </c>
      <c r="E15" s="141" t="str">
        <f>IF(ABS(C15-D15)&gt;=3,"يتطلب التصحيح الثالث"," ")</f>
        <v xml:space="preserve"> </v>
      </c>
      <c r="F15" s="10">
        <v>0</v>
      </c>
      <c r="G15" s="142">
        <f>IF(E15=" ",(C15+D15)/2," ")</f>
        <v>0</v>
      </c>
      <c r="H15" s="142">
        <f>ABS(F15-C15)</f>
        <v>0</v>
      </c>
      <c r="I15" s="142">
        <f>ABS(D15-F15)</f>
        <v>0</v>
      </c>
      <c r="J15" s="142">
        <f>ABS(C15-D15)</f>
        <v>0</v>
      </c>
      <c r="K15" s="143" t="str">
        <f>IF(E15=" "," ",IF(H15&lt;I15,(F15+C15)/2,(F15+D15)/2))</f>
        <v xml:space="preserve"> </v>
      </c>
      <c r="L15" s="144">
        <f>MAX(Q15:S15)</f>
        <v>0</v>
      </c>
      <c r="P15" s="162">
        <f>MIN(H15:J15)</f>
        <v>0</v>
      </c>
      <c r="Q15" s="1">
        <f>IF(P15=H15,(F15+C15)/2,0)</f>
        <v>0</v>
      </c>
      <c r="R15" s="1">
        <f>IF(P15=I15,(F15+D15)/2,0)</f>
        <v>0</v>
      </c>
      <c r="S15" s="1">
        <f>IF(P15=J15,(D15+C15)/2,0)</f>
        <v>0</v>
      </c>
      <c r="T15" s="1"/>
    </row>
    <row r="16" spans="1:28" ht="18.75" x14ac:dyDescent="0.25">
      <c r="A16" s="21">
        <v>2</v>
      </c>
      <c r="B16" s="9" t="str">
        <f>'القائمة الإسمية للمترشحين'!F16</f>
        <v>G202</v>
      </c>
      <c r="C16" s="2">
        <v>0</v>
      </c>
      <c r="D16" s="2">
        <v>0</v>
      </c>
      <c r="E16" s="132" t="str">
        <f t="shared" ref="E16:E65" si="0">IF(ABS(C16-D16)&gt;=3,"يتطلب التصحيح الثالث"," ")</f>
        <v xml:space="preserve"> </v>
      </c>
      <c r="F16" s="10">
        <v>0</v>
      </c>
      <c r="G16" s="90">
        <f t="shared" ref="G16:G65" si="1">IF(E16=" ",(C16+D16)/2," ")</f>
        <v>0</v>
      </c>
      <c r="H16" s="142">
        <f t="shared" ref="H16:H65" si="2">ABS(F16-C16)</f>
        <v>0</v>
      </c>
      <c r="I16" s="142">
        <f t="shared" ref="I16:I65" si="3">ABS(D16-F16)</f>
        <v>0</v>
      </c>
      <c r="J16" s="142">
        <f t="shared" ref="J16:J65" si="4">ABS(C16-D16)</f>
        <v>0</v>
      </c>
      <c r="K16" s="91">
        <v>0</v>
      </c>
      <c r="L16" s="144">
        <f t="shared" ref="L16:L65" si="5">MAX(Q16:S16)</f>
        <v>0</v>
      </c>
      <c r="M16" s="47" t="s">
        <v>19</v>
      </c>
      <c r="P16" s="162">
        <f t="shared" ref="P16:P65" si="6">MIN(H16:J16)</f>
        <v>0</v>
      </c>
      <c r="Q16" s="1">
        <f t="shared" ref="Q16:Q65" si="7">IF(P16=H16,(F16+C16)/2,0)</f>
        <v>0</v>
      </c>
      <c r="R16" s="1">
        <f t="shared" ref="R16:R65" si="8">IF(P16=I16,(F16+D16)/2,0)</f>
        <v>0</v>
      </c>
      <c r="S16" s="1">
        <f t="shared" ref="S16:S65" si="9">IF(P16=J16,(D16+C16)/2,0)</f>
        <v>0</v>
      </c>
      <c r="T16" s="1"/>
    </row>
    <row r="17" spans="1:20" ht="18.75" x14ac:dyDescent="0.25">
      <c r="A17" s="21">
        <v>3</v>
      </c>
      <c r="B17" s="9" t="str">
        <f>'القائمة الإسمية للمترشحين'!F17</f>
        <v>G203</v>
      </c>
      <c r="C17" s="2">
        <v>0</v>
      </c>
      <c r="D17" s="2">
        <v>0</v>
      </c>
      <c r="E17" s="132" t="str">
        <f t="shared" si="0"/>
        <v xml:space="preserve"> </v>
      </c>
      <c r="F17" s="10">
        <v>0</v>
      </c>
      <c r="G17" s="90">
        <f t="shared" si="1"/>
        <v>0</v>
      </c>
      <c r="H17" s="142">
        <f t="shared" si="2"/>
        <v>0</v>
      </c>
      <c r="I17" s="142">
        <f t="shared" si="3"/>
        <v>0</v>
      </c>
      <c r="J17" s="142">
        <f t="shared" si="4"/>
        <v>0</v>
      </c>
      <c r="K17" s="91" t="str">
        <f t="shared" ref="K17" si="10">IF(E17=" "," ",IF(H17&lt;I17,(F17+C17)/2,(F17+D17)/2))</f>
        <v xml:space="preserve"> </v>
      </c>
      <c r="L17" s="144">
        <f t="shared" si="5"/>
        <v>0</v>
      </c>
      <c r="P17" s="162">
        <f t="shared" si="6"/>
        <v>0</v>
      </c>
      <c r="Q17" s="1">
        <f t="shared" si="7"/>
        <v>0</v>
      </c>
      <c r="R17" s="1">
        <f t="shared" si="8"/>
        <v>0</v>
      </c>
      <c r="S17" s="1">
        <f t="shared" si="9"/>
        <v>0</v>
      </c>
      <c r="T17" s="1"/>
    </row>
    <row r="18" spans="1:20" ht="18.75" x14ac:dyDescent="0.25">
      <c r="A18" s="21">
        <v>4</v>
      </c>
      <c r="B18" s="9">
        <f>'القائمة الإسمية للمترشحين'!F18</f>
        <v>0</v>
      </c>
      <c r="C18" s="2">
        <v>0</v>
      </c>
      <c r="D18" s="2">
        <v>0</v>
      </c>
      <c r="E18" s="132" t="str">
        <f t="shared" si="0"/>
        <v xml:space="preserve"> </v>
      </c>
      <c r="F18" s="10">
        <v>0</v>
      </c>
      <c r="G18" s="90">
        <f t="shared" si="1"/>
        <v>0</v>
      </c>
      <c r="H18" s="142">
        <f t="shared" si="2"/>
        <v>0</v>
      </c>
      <c r="I18" s="142">
        <f t="shared" si="3"/>
        <v>0</v>
      </c>
      <c r="J18" s="142">
        <f t="shared" si="4"/>
        <v>0</v>
      </c>
      <c r="K18" s="91">
        <v>0</v>
      </c>
      <c r="L18" s="144">
        <f t="shared" si="5"/>
        <v>0</v>
      </c>
      <c r="P18" s="162">
        <f t="shared" si="6"/>
        <v>0</v>
      </c>
      <c r="Q18" s="1">
        <f t="shared" si="7"/>
        <v>0</v>
      </c>
      <c r="R18" s="1">
        <f t="shared" si="8"/>
        <v>0</v>
      </c>
      <c r="S18" s="1">
        <f t="shared" si="9"/>
        <v>0</v>
      </c>
      <c r="T18" s="1"/>
    </row>
    <row r="19" spans="1:20" ht="18.75" x14ac:dyDescent="0.25">
      <c r="A19" s="21">
        <v>5</v>
      </c>
      <c r="B19" s="9">
        <f>'القائمة الإسمية للمترشحين'!F19</f>
        <v>0</v>
      </c>
      <c r="C19" s="2">
        <v>0</v>
      </c>
      <c r="D19" s="2">
        <v>0</v>
      </c>
      <c r="E19" s="132" t="str">
        <f t="shared" si="0"/>
        <v xml:space="preserve"> </v>
      </c>
      <c r="F19" s="10">
        <v>0</v>
      </c>
      <c r="G19" s="90">
        <f t="shared" si="1"/>
        <v>0</v>
      </c>
      <c r="H19" s="142">
        <f t="shared" si="2"/>
        <v>0</v>
      </c>
      <c r="I19" s="142">
        <f t="shared" si="3"/>
        <v>0</v>
      </c>
      <c r="J19" s="142">
        <f t="shared" si="4"/>
        <v>0</v>
      </c>
      <c r="K19" s="91">
        <v>0</v>
      </c>
      <c r="L19" s="144">
        <f t="shared" si="5"/>
        <v>0</v>
      </c>
      <c r="P19" s="162">
        <f t="shared" si="6"/>
        <v>0</v>
      </c>
      <c r="Q19" s="1">
        <f t="shared" si="7"/>
        <v>0</v>
      </c>
      <c r="R19" s="1">
        <f t="shared" si="8"/>
        <v>0</v>
      </c>
      <c r="S19" s="1">
        <f t="shared" si="9"/>
        <v>0</v>
      </c>
      <c r="T19" s="1"/>
    </row>
    <row r="20" spans="1:20" ht="18.75" x14ac:dyDescent="0.25">
      <c r="A20" s="21">
        <v>6</v>
      </c>
      <c r="B20" s="9">
        <f>'القائمة الإسمية للمترشحين'!F20</f>
        <v>0</v>
      </c>
      <c r="C20" s="2">
        <v>0</v>
      </c>
      <c r="D20" s="2">
        <v>0</v>
      </c>
      <c r="E20" s="132" t="str">
        <f t="shared" si="0"/>
        <v xml:space="preserve"> </v>
      </c>
      <c r="F20" s="10">
        <v>0</v>
      </c>
      <c r="G20" s="90">
        <f t="shared" si="1"/>
        <v>0</v>
      </c>
      <c r="H20" s="142">
        <f t="shared" si="2"/>
        <v>0</v>
      </c>
      <c r="I20" s="142">
        <f t="shared" si="3"/>
        <v>0</v>
      </c>
      <c r="J20" s="142">
        <f t="shared" si="4"/>
        <v>0</v>
      </c>
      <c r="K20" s="91">
        <v>0</v>
      </c>
      <c r="L20" s="144">
        <f t="shared" si="5"/>
        <v>0</v>
      </c>
      <c r="P20" s="162">
        <f t="shared" si="6"/>
        <v>0</v>
      </c>
      <c r="Q20" s="1">
        <f t="shared" si="7"/>
        <v>0</v>
      </c>
      <c r="R20" s="1">
        <f t="shared" si="8"/>
        <v>0</v>
      </c>
      <c r="S20" s="1">
        <f t="shared" si="9"/>
        <v>0</v>
      </c>
      <c r="T20" s="1"/>
    </row>
    <row r="21" spans="1:20" ht="18.75" x14ac:dyDescent="0.25">
      <c r="A21" s="21">
        <v>7</v>
      </c>
      <c r="B21" s="9">
        <f>'القائمة الإسمية للمترشحين'!F21</f>
        <v>0</v>
      </c>
      <c r="C21" s="2">
        <v>0</v>
      </c>
      <c r="D21" s="2">
        <v>0</v>
      </c>
      <c r="E21" s="132" t="str">
        <f t="shared" si="0"/>
        <v xml:space="preserve"> </v>
      </c>
      <c r="F21" s="10">
        <v>0</v>
      </c>
      <c r="G21" s="90">
        <f t="shared" si="1"/>
        <v>0</v>
      </c>
      <c r="H21" s="142">
        <f t="shared" si="2"/>
        <v>0</v>
      </c>
      <c r="I21" s="142">
        <f t="shared" si="3"/>
        <v>0</v>
      </c>
      <c r="J21" s="142">
        <f t="shared" si="4"/>
        <v>0</v>
      </c>
      <c r="K21" s="91">
        <v>0</v>
      </c>
      <c r="L21" s="144">
        <f t="shared" si="5"/>
        <v>0</v>
      </c>
      <c r="P21" s="162">
        <f t="shared" si="6"/>
        <v>0</v>
      </c>
      <c r="Q21" s="1">
        <f t="shared" si="7"/>
        <v>0</v>
      </c>
      <c r="R21" s="1">
        <f t="shared" si="8"/>
        <v>0</v>
      </c>
      <c r="S21" s="1">
        <f t="shared" si="9"/>
        <v>0</v>
      </c>
      <c r="T21" s="1"/>
    </row>
    <row r="22" spans="1:20" ht="18.75" x14ac:dyDescent="0.25">
      <c r="A22" s="21">
        <v>8</v>
      </c>
      <c r="B22" s="9">
        <f>'القائمة الإسمية للمترشحين'!F22</f>
        <v>0</v>
      </c>
      <c r="C22" s="2">
        <v>0</v>
      </c>
      <c r="D22" s="2">
        <v>0</v>
      </c>
      <c r="E22" s="132" t="str">
        <f t="shared" si="0"/>
        <v xml:space="preserve"> </v>
      </c>
      <c r="F22" s="10">
        <v>0</v>
      </c>
      <c r="G22" s="90">
        <f t="shared" si="1"/>
        <v>0</v>
      </c>
      <c r="H22" s="142">
        <f t="shared" si="2"/>
        <v>0</v>
      </c>
      <c r="I22" s="142">
        <f t="shared" si="3"/>
        <v>0</v>
      </c>
      <c r="J22" s="142">
        <f t="shared" si="4"/>
        <v>0</v>
      </c>
      <c r="K22" s="91">
        <v>0</v>
      </c>
      <c r="L22" s="144">
        <f t="shared" si="5"/>
        <v>0</v>
      </c>
      <c r="P22" s="162">
        <f t="shared" si="6"/>
        <v>0</v>
      </c>
      <c r="Q22" s="1">
        <f t="shared" si="7"/>
        <v>0</v>
      </c>
      <c r="R22" s="1">
        <f t="shared" si="8"/>
        <v>0</v>
      </c>
      <c r="S22" s="1">
        <f t="shared" si="9"/>
        <v>0</v>
      </c>
      <c r="T22" s="1"/>
    </row>
    <row r="23" spans="1:20" ht="18.75" x14ac:dyDescent="0.25">
      <c r="A23" s="21">
        <v>9</v>
      </c>
      <c r="B23" s="9">
        <f>'القائمة الإسمية للمترشحين'!F23</f>
        <v>0</v>
      </c>
      <c r="C23" s="2">
        <v>0</v>
      </c>
      <c r="D23" s="2">
        <v>0</v>
      </c>
      <c r="E23" s="132" t="str">
        <f t="shared" si="0"/>
        <v xml:space="preserve"> </v>
      </c>
      <c r="F23" s="10">
        <v>0</v>
      </c>
      <c r="G23" s="90">
        <f t="shared" si="1"/>
        <v>0</v>
      </c>
      <c r="H23" s="142">
        <f t="shared" si="2"/>
        <v>0</v>
      </c>
      <c r="I23" s="142">
        <f t="shared" si="3"/>
        <v>0</v>
      </c>
      <c r="J23" s="142">
        <f t="shared" si="4"/>
        <v>0</v>
      </c>
      <c r="K23" s="91">
        <v>0</v>
      </c>
      <c r="L23" s="144">
        <f t="shared" si="5"/>
        <v>0</v>
      </c>
      <c r="P23" s="162">
        <f t="shared" si="6"/>
        <v>0</v>
      </c>
      <c r="Q23" s="1">
        <f t="shared" si="7"/>
        <v>0</v>
      </c>
      <c r="R23" s="1">
        <f t="shared" si="8"/>
        <v>0</v>
      </c>
      <c r="S23" s="1">
        <f t="shared" si="9"/>
        <v>0</v>
      </c>
      <c r="T23" s="1"/>
    </row>
    <row r="24" spans="1:20" ht="18.75" x14ac:dyDescent="0.25">
      <c r="A24" s="21">
        <v>10</v>
      </c>
      <c r="B24" s="9">
        <f>'القائمة الإسمية للمترشحين'!F24</f>
        <v>0</v>
      </c>
      <c r="C24" s="2">
        <v>0</v>
      </c>
      <c r="D24" s="2">
        <v>0</v>
      </c>
      <c r="E24" s="132" t="str">
        <f t="shared" si="0"/>
        <v xml:space="preserve"> </v>
      </c>
      <c r="F24" s="10">
        <v>0</v>
      </c>
      <c r="G24" s="90">
        <f t="shared" si="1"/>
        <v>0</v>
      </c>
      <c r="H24" s="142">
        <f t="shared" si="2"/>
        <v>0</v>
      </c>
      <c r="I24" s="142">
        <f t="shared" si="3"/>
        <v>0</v>
      </c>
      <c r="J24" s="142">
        <f t="shared" si="4"/>
        <v>0</v>
      </c>
      <c r="K24" s="91">
        <v>0</v>
      </c>
      <c r="L24" s="144">
        <f t="shared" si="5"/>
        <v>0</v>
      </c>
      <c r="P24" s="162">
        <f t="shared" si="6"/>
        <v>0</v>
      </c>
      <c r="Q24" s="1">
        <f t="shared" si="7"/>
        <v>0</v>
      </c>
      <c r="R24" s="1">
        <f t="shared" si="8"/>
        <v>0</v>
      </c>
      <c r="S24" s="1">
        <f t="shared" si="9"/>
        <v>0</v>
      </c>
      <c r="T24" s="1"/>
    </row>
    <row r="25" spans="1:20" ht="18.75" x14ac:dyDescent="0.25">
      <c r="A25" s="21">
        <v>11</v>
      </c>
      <c r="B25" s="9">
        <f>'القائمة الإسمية للمترشحين'!F25</f>
        <v>0</v>
      </c>
      <c r="C25" s="2">
        <v>0</v>
      </c>
      <c r="D25" s="2">
        <v>0</v>
      </c>
      <c r="E25" s="132" t="str">
        <f t="shared" si="0"/>
        <v xml:space="preserve"> </v>
      </c>
      <c r="F25" s="10">
        <v>0</v>
      </c>
      <c r="G25" s="90">
        <f t="shared" si="1"/>
        <v>0</v>
      </c>
      <c r="H25" s="142">
        <f t="shared" si="2"/>
        <v>0</v>
      </c>
      <c r="I25" s="142">
        <f t="shared" si="3"/>
        <v>0</v>
      </c>
      <c r="J25" s="142">
        <f t="shared" si="4"/>
        <v>0</v>
      </c>
      <c r="K25" s="91">
        <v>0</v>
      </c>
      <c r="L25" s="144">
        <f t="shared" si="5"/>
        <v>0</v>
      </c>
      <c r="P25" s="162">
        <f t="shared" si="6"/>
        <v>0</v>
      </c>
      <c r="Q25" s="1">
        <f t="shared" si="7"/>
        <v>0</v>
      </c>
      <c r="R25" s="1">
        <f t="shared" si="8"/>
        <v>0</v>
      </c>
      <c r="S25" s="1">
        <f t="shared" si="9"/>
        <v>0</v>
      </c>
      <c r="T25" s="1"/>
    </row>
    <row r="26" spans="1:20" ht="18.75" x14ac:dyDescent="0.25">
      <c r="A26" s="21">
        <v>12</v>
      </c>
      <c r="B26" s="9">
        <f>'القائمة الإسمية للمترشحين'!F26</f>
        <v>0</v>
      </c>
      <c r="C26" s="2">
        <v>0</v>
      </c>
      <c r="D26" s="2">
        <v>0</v>
      </c>
      <c r="E26" s="132" t="str">
        <f t="shared" si="0"/>
        <v xml:space="preserve"> </v>
      </c>
      <c r="F26" s="10">
        <v>0</v>
      </c>
      <c r="G26" s="90">
        <f t="shared" si="1"/>
        <v>0</v>
      </c>
      <c r="H26" s="142">
        <f t="shared" si="2"/>
        <v>0</v>
      </c>
      <c r="I26" s="142">
        <f t="shared" si="3"/>
        <v>0</v>
      </c>
      <c r="J26" s="142">
        <f t="shared" si="4"/>
        <v>0</v>
      </c>
      <c r="K26" s="91">
        <v>0</v>
      </c>
      <c r="L26" s="144">
        <f t="shared" si="5"/>
        <v>0</v>
      </c>
      <c r="P26" s="162">
        <f t="shared" si="6"/>
        <v>0</v>
      </c>
      <c r="Q26" s="1">
        <f t="shared" si="7"/>
        <v>0</v>
      </c>
      <c r="R26" s="1">
        <f t="shared" si="8"/>
        <v>0</v>
      </c>
      <c r="S26" s="1">
        <f t="shared" si="9"/>
        <v>0</v>
      </c>
      <c r="T26" s="1"/>
    </row>
    <row r="27" spans="1:20" ht="18.75" x14ac:dyDescent="0.25">
      <c r="A27" s="21">
        <v>13</v>
      </c>
      <c r="B27" s="9">
        <f>'القائمة الإسمية للمترشحين'!F27</f>
        <v>0</v>
      </c>
      <c r="C27" s="2">
        <v>0</v>
      </c>
      <c r="D27" s="2">
        <v>0</v>
      </c>
      <c r="E27" s="132" t="str">
        <f t="shared" si="0"/>
        <v xml:space="preserve"> </v>
      </c>
      <c r="F27" s="10">
        <v>0</v>
      </c>
      <c r="G27" s="90">
        <f t="shared" si="1"/>
        <v>0</v>
      </c>
      <c r="H27" s="142">
        <f t="shared" si="2"/>
        <v>0</v>
      </c>
      <c r="I27" s="142">
        <f t="shared" si="3"/>
        <v>0</v>
      </c>
      <c r="J27" s="142">
        <f t="shared" si="4"/>
        <v>0</v>
      </c>
      <c r="K27" s="91">
        <v>0</v>
      </c>
      <c r="L27" s="144">
        <f t="shared" si="5"/>
        <v>0</v>
      </c>
      <c r="P27" s="162">
        <f t="shared" si="6"/>
        <v>0</v>
      </c>
      <c r="Q27" s="1">
        <f t="shared" si="7"/>
        <v>0</v>
      </c>
      <c r="R27" s="1">
        <f t="shared" si="8"/>
        <v>0</v>
      </c>
      <c r="S27" s="1">
        <f t="shared" si="9"/>
        <v>0</v>
      </c>
      <c r="T27" s="1"/>
    </row>
    <row r="28" spans="1:20" ht="18.75" x14ac:dyDescent="0.25">
      <c r="A28" s="21">
        <v>14</v>
      </c>
      <c r="B28" s="9">
        <f>'القائمة الإسمية للمترشحين'!F28</f>
        <v>0</v>
      </c>
      <c r="C28" s="2">
        <v>0</v>
      </c>
      <c r="D28" s="2">
        <v>0</v>
      </c>
      <c r="E28" s="132" t="str">
        <f t="shared" si="0"/>
        <v xml:space="preserve"> </v>
      </c>
      <c r="F28" s="10">
        <v>0</v>
      </c>
      <c r="G28" s="90">
        <f t="shared" si="1"/>
        <v>0</v>
      </c>
      <c r="H28" s="142">
        <f t="shared" si="2"/>
        <v>0</v>
      </c>
      <c r="I28" s="142">
        <f t="shared" si="3"/>
        <v>0</v>
      </c>
      <c r="J28" s="142">
        <f t="shared" si="4"/>
        <v>0</v>
      </c>
      <c r="K28" s="91">
        <v>0</v>
      </c>
      <c r="L28" s="144">
        <f t="shared" si="5"/>
        <v>0</v>
      </c>
      <c r="P28" s="162">
        <f t="shared" si="6"/>
        <v>0</v>
      </c>
      <c r="Q28" s="1">
        <f t="shared" si="7"/>
        <v>0</v>
      </c>
      <c r="R28" s="1">
        <f t="shared" si="8"/>
        <v>0</v>
      </c>
      <c r="S28" s="1">
        <f t="shared" si="9"/>
        <v>0</v>
      </c>
      <c r="T28" s="1"/>
    </row>
    <row r="29" spans="1:20" ht="18.75" x14ac:dyDescent="0.25">
      <c r="A29" s="21">
        <v>15</v>
      </c>
      <c r="B29" s="9">
        <f>'القائمة الإسمية للمترشحين'!F29</f>
        <v>0</v>
      </c>
      <c r="C29" s="2">
        <v>0</v>
      </c>
      <c r="D29" s="2">
        <v>0</v>
      </c>
      <c r="E29" s="132" t="str">
        <f t="shared" si="0"/>
        <v xml:space="preserve"> </v>
      </c>
      <c r="F29" s="10">
        <v>0</v>
      </c>
      <c r="G29" s="90">
        <f t="shared" si="1"/>
        <v>0</v>
      </c>
      <c r="H29" s="142">
        <f t="shared" si="2"/>
        <v>0</v>
      </c>
      <c r="I29" s="142">
        <f t="shared" si="3"/>
        <v>0</v>
      </c>
      <c r="J29" s="142">
        <f t="shared" si="4"/>
        <v>0</v>
      </c>
      <c r="K29" s="91">
        <v>0</v>
      </c>
      <c r="L29" s="144">
        <f t="shared" si="5"/>
        <v>0</v>
      </c>
      <c r="P29" s="162">
        <f t="shared" si="6"/>
        <v>0</v>
      </c>
      <c r="Q29" s="1">
        <f t="shared" si="7"/>
        <v>0</v>
      </c>
      <c r="R29" s="1">
        <f t="shared" si="8"/>
        <v>0</v>
      </c>
      <c r="S29" s="1">
        <f t="shared" si="9"/>
        <v>0</v>
      </c>
      <c r="T29" s="1"/>
    </row>
    <row r="30" spans="1:20" ht="18.75" x14ac:dyDescent="0.25">
      <c r="A30" s="21">
        <v>16</v>
      </c>
      <c r="B30" s="9">
        <f>'القائمة الإسمية للمترشحين'!F30</f>
        <v>0</v>
      </c>
      <c r="C30" s="2">
        <v>0</v>
      </c>
      <c r="D30" s="2">
        <v>0</v>
      </c>
      <c r="E30" s="132" t="str">
        <f t="shared" si="0"/>
        <v xml:space="preserve"> </v>
      </c>
      <c r="F30" s="10">
        <v>0</v>
      </c>
      <c r="G30" s="90">
        <f t="shared" si="1"/>
        <v>0</v>
      </c>
      <c r="H30" s="142">
        <f t="shared" si="2"/>
        <v>0</v>
      </c>
      <c r="I30" s="142">
        <f t="shared" si="3"/>
        <v>0</v>
      </c>
      <c r="J30" s="142">
        <f t="shared" si="4"/>
        <v>0</v>
      </c>
      <c r="K30" s="91">
        <v>0</v>
      </c>
      <c r="L30" s="144">
        <f t="shared" si="5"/>
        <v>0</v>
      </c>
      <c r="P30" s="162">
        <f t="shared" si="6"/>
        <v>0</v>
      </c>
      <c r="Q30" s="1">
        <f t="shared" si="7"/>
        <v>0</v>
      </c>
      <c r="R30" s="1">
        <f t="shared" si="8"/>
        <v>0</v>
      </c>
      <c r="S30" s="1">
        <f t="shared" si="9"/>
        <v>0</v>
      </c>
      <c r="T30" s="1"/>
    </row>
    <row r="31" spans="1:20" ht="18.75" x14ac:dyDescent="0.25">
      <c r="A31" s="21">
        <v>17</v>
      </c>
      <c r="B31" s="9">
        <f>'القائمة الإسمية للمترشحين'!F31</f>
        <v>0</v>
      </c>
      <c r="C31" s="2">
        <v>0</v>
      </c>
      <c r="D31" s="2">
        <v>0</v>
      </c>
      <c r="E31" s="132" t="str">
        <f t="shared" si="0"/>
        <v xml:space="preserve"> </v>
      </c>
      <c r="F31" s="10">
        <v>0</v>
      </c>
      <c r="G31" s="90">
        <f t="shared" si="1"/>
        <v>0</v>
      </c>
      <c r="H31" s="142">
        <f t="shared" si="2"/>
        <v>0</v>
      </c>
      <c r="I31" s="142">
        <f t="shared" si="3"/>
        <v>0</v>
      </c>
      <c r="J31" s="142">
        <f t="shared" si="4"/>
        <v>0</v>
      </c>
      <c r="K31" s="91">
        <v>0</v>
      </c>
      <c r="L31" s="144">
        <f t="shared" si="5"/>
        <v>0</v>
      </c>
      <c r="P31" s="162">
        <f t="shared" si="6"/>
        <v>0</v>
      </c>
      <c r="Q31" s="1">
        <f t="shared" si="7"/>
        <v>0</v>
      </c>
      <c r="R31" s="1">
        <f t="shared" si="8"/>
        <v>0</v>
      </c>
      <c r="S31" s="1">
        <f t="shared" si="9"/>
        <v>0</v>
      </c>
      <c r="T31" s="1"/>
    </row>
    <row r="32" spans="1:20" ht="18.75" customHeight="1" x14ac:dyDescent="0.25">
      <c r="A32" s="21">
        <v>18</v>
      </c>
      <c r="B32" s="9">
        <f>'القائمة الإسمية للمترشحين'!F32</f>
        <v>0</v>
      </c>
      <c r="C32" s="2">
        <v>0</v>
      </c>
      <c r="D32" s="2">
        <v>0</v>
      </c>
      <c r="E32" s="132" t="str">
        <f t="shared" si="0"/>
        <v xml:space="preserve"> </v>
      </c>
      <c r="F32" s="10">
        <v>0</v>
      </c>
      <c r="G32" s="90">
        <f t="shared" si="1"/>
        <v>0</v>
      </c>
      <c r="H32" s="142">
        <f t="shared" si="2"/>
        <v>0</v>
      </c>
      <c r="I32" s="142">
        <f t="shared" si="3"/>
        <v>0</v>
      </c>
      <c r="J32" s="142">
        <f t="shared" si="4"/>
        <v>0</v>
      </c>
      <c r="K32" s="91">
        <v>0</v>
      </c>
      <c r="L32" s="144">
        <f t="shared" si="5"/>
        <v>0</v>
      </c>
      <c r="P32" s="162">
        <f t="shared" si="6"/>
        <v>0</v>
      </c>
      <c r="Q32" s="1">
        <f t="shared" si="7"/>
        <v>0</v>
      </c>
      <c r="R32" s="1">
        <f t="shared" si="8"/>
        <v>0</v>
      </c>
      <c r="S32" s="1">
        <f t="shared" si="9"/>
        <v>0</v>
      </c>
      <c r="T32" s="1"/>
    </row>
    <row r="33" spans="1:20" ht="18.75" customHeight="1" x14ac:dyDescent="0.25">
      <c r="A33" s="21">
        <v>19</v>
      </c>
      <c r="B33" s="9">
        <f>'القائمة الإسمية للمترشحين'!F33</f>
        <v>0</v>
      </c>
      <c r="C33" s="2">
        <v>0</v>
      </c>
      <c r="D33" s="2">
        <v>0</v>
      </c>
      <c r="E33" s="132" t="str">
        <f t="shared" si="0"/>
        <v xml:space="preserve"> </v>
      </c>
      <c r="F33" s="10">
        <v>0</v>
      </c>
      <c r="G33" s="90">
        <f t="shared" si="1"/>
        <v>0</v>
      </c>
      <c r="H33" s="142">
        <f t="shared" si="2"/>
        <v>0</v>
      </c>
      <c r="I33" s="142">
        <f t="shared" si="3"/>
        <v>0</v>
      </c>
      <c r="J33" s="142">
        <f t="shared" si="4"/>
        <v>0</v>
      </c>
      <c r="K33" s="91">
        <v>0</v>
      </c>
      <c r="L33" s="144">
        <f t="shared" si="5"/>
        <v>0</v>
      </c>
      <c r="P33" s="162">
        <f t="shared" si="6"/>
        <v>0</v>
      </c>
      <c r="Q33" s="1">
        <f t="shared" si="7"/>
        <v>0</v>
      </c>
      <c r="R33" s="1">
        <f t="shared" si="8"/>
        <v>0</v>
      </c>
      <c r="S33" s="1">
        <f t="shared" si="9"/>
        <v>0</v>
      </c>
      <c r="T33" s="1"/>
    </row>
    <row r="34" spans="1:20" ht="18.75" customHeight="1" x14ac:dyDescent="0.25">
      <c r="A34" s="21">
        <v>20</v>
      </c>
      <c r="B34" s="9">
        <f>'القائمة الإسمية للمترشحين'!F34</f>
        <v>0</v>
      </c>
      <c r="C34" s="2">
        <v>0</v>
      </c>
      <c r="D34" s="2">
        <v>0</v>
      </c>
      <c r="E34" s="132" t="str">
        <f t="shared" si="0"/>
        <v xml:space="preserve"> </v>
      </c>
      <c r="F34" s="10">
        <v>0</v>
      </c>
      <c r="G34" s="90">
        <f t="shared" si="1"/>
        <v>0</v>
      </c>
      <c r="H34" s="142">
        <f t="shared" si="2"/>
        <v>0</v>
      </c>
      <c r="I34" s="142">
        <f t="shared" si="3"/>
        <v>0</v>
      </c>
      <c r="J34" s="142">
        <f t="shared" si="4"/>
        <v>0</v>
      </c>
      <c r="K34" s="91">
        <v>0</v>
      </c>
      <c r="L34" s="144">
        <f t="shared" si="5"/>
        <v>0</v>
      </c>
      <c r="P34" s="162">
        <f t="shared" si="6"/>
        <v>0</v>
      </c>
      <c r="Q34" s="1">
        <f t="shared" si="7"/>
        <v>0</v>
      </c>
      <c r="R34" s="1">
        <f t="shared" si="8"/>
        <v>0</v>
      </c>
      <c r="S34" s="1">
        <f t="shared" si="9"/>
        <v>0</v>
      </c>
      <c r="T34" s="1"/>
    </row>
    <row r="35" spans="1:20" ht="18.75" customHeight="1" x14ac:dyDescent="0.25">
      <c r="A35" s="21">
        <v>21</v>
      </c>
      <c r="B35" s="9">
        <f>'القائمة الإسمية للمترشحين'!F35</f>
        <v>0</v>
      </c>
      <c r="C35" s="2">
        <v>0</v>
      </c>
      <c r="D35" s="2">
        <v>0</v>
      </c>
      <c r="E35" s="132" t="str">
        <f t="shared" si="0"/>
        <v xml:space="preserve"> </v>
      </c>
      <c r="F35" s="10">
        <v>0</v>
      </c>
      <c r="G35" s="90">
        <f t="shared" si="1"/>
        <v>0</v>
      </c>
      <c r="H35" s="142">
        <f t="shared" si="2"/>
        <v>0</v>
      </c>
      <c r="I35" s="142">
        <f t="shared" si="3"/>
        <v>0</v>
      </c>
      <c r="J35" s="142">
        <f t="shared" si="4"/>
        <v>0</v>
      </c>
      <c r="K35" s="91">
        <v>0</v>
      </c>
      <c r="L35" s="144">
        <f t="shared" si="5"/>
        <v>0</v>
      </c>
      <c r="P35" s="162">
        <f t="shared" si="6"/>
        <v>0</v>
      </c>
      <c r="Q35" s="1">
        <f t="shared" si="7"/>
        <v>0</v>
      </c>
      <c r="R35" s="1">
        <f t="shared" si="8"/>
        <v>0</v>
      </c>
      <c r="S35" s="1">
        <f t="shared" si="9"/>
        <v>0</v>
      </c>
      <c r="T35" s="1"/>
    </row>
    <row r="36" spans="1:20" ht="18.75" customHeight="1" x14ac:dyDescent="0.25">
      <c r="A36" s="21">
        <v>22</v>
      </c>
      <c r="B36" s="9">
        <f>'القائمة الإسمية للمترشحين'!F36</f>
        <v>0</v>
      </c>
      <c r="C36" s="2">
        <v>0</v>
      </c>
      <c r="D36" s="2">
        <v>0</v>
      </c>
      <c r="E36" s="132" t="str">
        <f t="shared" si="0"/>
        <v xml:space="preserve"> </v>
      </c>
      <c r="F36" s="10">
        <v>0</v>
      </c>
      <c r="G36" s="90">
        <f t="shared" si="1"/>
        <v>0</v>
      </c>
      <c r="H36" s="142">
        <f t="shared" si="2"/>
        <v>0</v>
      </c>
      <c r="I36" s="142">
        <f t="shared" si="3"/>
        <v>0</v>
      </c>
      <c r="J36" s="142">
        <f t="shared" si="4"/>
        <v>0</v>
      </c>
      <c r="K36" s="91">
        <v>0</v>
      </c>
      <c r="L36" s="144">
        <f t="shared" si="5"/>
        <v>0</v>
      </c>
      <c r="P36" s="162">
        <f t="shared" si="6"/>
        <v>0</v>
      </c>
      <c r="Q36" s="1">
        <f t="shared" si="7"/>
        <v>0</v>
      </c>
      <c r="R36" s="1">
        <f t="shared" si="8"/>
        <v>0</v>
      </c>
      <c r="S36" s="1">
        <f t="shared" si="9"/>
        <v>0</v>
      </c>
      <c r="T36" s="1"/>
    </row>
    <row r="37" spans="1:20" ht="18.75" customHeight="1" x14ac:dyDescent="0.25">
      <c r="A37" s="21">
        <v>23</v>
      </c>
      <c r="B37" s="9">
        <f>'القائمة الإسمية للمترشحين'!F37</f>
        <v>0</v>
      </c>
      <c r="C37" s="2">
        <v>0</v>
      </c>
      <c r="D37" s="2">
        <v>0</v>
      </c>
      <c r="E37" s="132" t="str">
        <f t="shared" si="0"/>
        <v xml:space="preserve"> </v>
      </c>
      <c r="F37" s="10">
        <v>0</v>
      </c>
      <c r="G37" s="90">
        <f t="shared" si="1"/>
        <v>0</v>
      </c>
      <c r="H37" s="142">
        <f t="shared" si="2"/>
        <v>0</v>
      </c>
      <c r="I37" s="142">
        <f t="shared" si="3"/>
        <v>0</v>
      </c>
      <c r="J37" s="142">
        <f t="shared" si="4"/>
        <v>0</v>
      </c>
      <c r="K37" s="91">
        <v>0</v>
      </c>
      <c r="L37" s="144">
        <f t="shared" si="5"/>
        <v>0</v>
      </c>
      <c r="P37" s="162">
        <f t="shared" si="6"/>
        <v>0</v>
      </c>
      <c r="Q37" s="1">
        <f t="shared" si="7"/>
        <v>0</v>
      </c>
      <c r="R37" s="1">
        <f t="shared" si="8"/>
        <v>0</v>
      </c>
      <c r="S37" s="1">
        <f t="shared" si="9"/>
        <v>0</v>
      </c>
      <c r="T37" s="1"/>
    </row>
    <row r="38" spans="1:20" ht="18.75" customHeight="1" x14ac:dyDescent="0.25">
      <c r="A38" s="21">
        <v>24</v>
      </c>
      <c r="B38" s="9">
        <f>'القائمة الإسمية للمترشحين'!F38</f>
        <v>0</v>
      </c>
      <c r="C38" s="2">
        <v>0</v>
      </c>
      <c r="D38" s="2">
        <v>0</v>
      </c>
      <c r="E38" s="132" t="str">
        <f t="shared" si="0"/>
        <v xml:space="preserve"> </v>
      </c>
      <c r="F38" s="10">
        <v>0</v>
      </c>
      <c r="G38" s="90">
        <f t="shared" si="1"/>
        <v>0</v>
      </c>
      <c r="H38" s="142">
        <f t="shared" si="2"/>
        <v>0</v>
      </c>
      <c r="I38" s="142">
        <f t="shared" si="3"/>
        <v>0</v>
      </c>
      <c r="J38" s="142">
        <f t="shared" si="4"/>
        <v>0</v>
      </c>
      <c r="K38" s="91">
        <v>0</v>
      </c>
      <c r="L38" s="144">
        <f t="shared" si="5"/>
        <v>0</v>
      </c>
      <c r="P38" s="162">
        <f t="shared" si="6"/>
        <v>0</v>
      </c>
      <c r="Q38" s="1">
        <f t="shared" si="7"/>
        <v>0</v>
      </c>
      <c r="R38" s="1">
        <f t="shared" si="8"/>
        <v>0</v>
      </c>
      <c r="S38" s="1">
        <f t="shared" si="9"/>
        <v>0</v>
      </c>
      <c r="T38" s="1"/>
    </row>
    <row r="39" spans="1:20" ht="18.75" customHeight="1" x14ac:dyDescent="0.25">
      <c r="A39" s="21">
        <v>25</v>
      </c>
      <c r="B39" s="9">
        <f>'القائمة الإسمية للمترشحين'!F39</f>
        <v>0</v>
      </c>
      <c r="C39" s="2">
        <v>0</v>
      </c>
      <c r="D39" s="2">
        <v>0</v>
      </c>
      <c r="E39" s="132" t="str">
        <f t="shared" si="0"/>
        <v xml:space="preserve"> </v>
      </c>
      <c r="F39" s="10">
        <v>0</v>
      </c>
      <c r="G39" s="90">
        <f t="shared" si="1"/>
        <v>0</v>
      </c>
      <c r="H39" s="142">
        <f t="shared" si="2"/>
        <v>0</v>
      </c>
      <c r="I39" s="142">
        <f t="shared" si="3"/>
        <v>0</v>
      </c>
      <c r="J39" s="142">
        <f t="shared" si="4"/>
        <v>0</v>
      </c>
      <c r="K39" s="91">
        <v>0</v>
      </c>
      <c r="L39" s="144">
        <f t="shared" si="5"/>
        <v>0</v>
      </c>
      <c r="P39" s="162">
        <f t="shared" si="6"/>
        <v>0</v>
      </c>
      <c r="Q39" s="1">
        <f t="shared" si="7"/>
        <v>0</v>
      </c>
      <c r="R39" s="1">
        <f t="shared" si="8"/>
        <v>0</v>
      </c>
      <c r="S39" s="1">
        <f t="shared" si="9"/>
        <v>0</v>
      </c>
      <c r="T39" s="1"/>
    </row>
    <row r="40" spans="1:20" ht="18.75" customHeight="1" x14ac:dyDescent="0.25">
      <c r="A40" s="21">
        <v>26</v>
      </c>
      <c r="B40" s="9">
        <f>'القائمة الإسمية للمترشحين'!F40</f>
        <v>0</v>
      </c>
      <c r="C40" s="2">
        <v>0</v>
      </c>
      <c r="D40" s="2">
        <v>0</v>
      </c>
      <c r="E40" s="132" t="str">
        <f t="shared" si="0"/>
        <v xml:space="preserve"> </v>
      </c>
      <c r="F40" s="10">
        <v>0</v>
      </c>
      <c r="G40" s="90">
        <f t="shared" si="1"/>
        <v>0</v>
      </c>
      <c r="H40" s="142">
        <f t="shared" si="2"/>
        <v>0</v>
      </c>
      <c r="I40" s="142">
        <f t="shared" si="3"/>
        <v>0</v>
      </c>
      <c r="J40" s="142">
        <f t="shared" si="4"/>
        <v>0</v>
      </c>
      <c r="K40" s="91">
        <v>0</v>
      </c>
      <c r="L40" s="144">
        <f t="shared" si="5"/>
        <v>0</v>
      </c>
      <c r="P40" s="162">
        <f t="shared" si="6"/>
        <v>0</v>
      </c>
      <c r="Q40" s="1">
        <f t="shared" si="7"/>
        <v>0</v>
      </c>
      <c r="R40" s="1">
        <f t="shared" si="8"/>
        <v>0</v>
      </c>
      <c r="S40" s="1">
        <f t="shared" si="9"/>
        <v>0</v>
      </c>
      <c r="T40" s="1"/>
    </row>
    <row r="41" spans="1:20" ht="18.75" customHeight="1" x14ac:dyDescent="0.25">
      <c r="A41" s="21">
        <v>27</v>
      </c>
      <c r="B41" s="9">
        <f>'القائمة الإسمية للمترشحين'!F41</f>
        <v>0</v>
      </c>
      <c r="C41" s="2">
        <v>0</v>
      </c>
      <c r="D41" s="2">
        <v>0</v>
      </c>
      <c r="E41" s="132" t="str">
        <f t="shared" si="0"/>
        <v xml:space="preserve"> </v>
      </c>
      <c r="F41" s="10">
        <v>0</v>
      </c>
      <c r="G41" s="90">
        <f t="shared" si="1"/>
        <v>0</v>
      </c>
      <c r="H41" s="142">
        <f t="shared" si="2"/>
        <v>0</v>
      </c>
      <c r="I41" s="142">
        <f t="shared" si="3"/>
        <v>0</v>
      </c>
      <c r="J41" s="142">
        <f t="shared" si="4"/>
        <v>0</v>
      </c>
      <c r="K41" s="91">
        <v>0</v>
      </c>
      <c r="L41" s="144">
        <f t="shared" si="5"/>
        <v>0</v>
      </c>
      <c r="P41" s="162">
        <f t="shared" si="6"/>
        <v>0</v>
      </c>
      <c r="Q41" s="1">
        <f t="shared" si="7"/>
        <v>0</v>
      </c>
      <c r="R41" s="1">
        <f t="shared" si="8"/>
        <v>0</v>
      </c>
      <c r="S41" s="1">
        <f t="shared" si="9"/>
        <v>0</v>
      </c>
      <c r="T41" s="1"/>
    </row>
    <row r="42" spans="1:20" ht="18.75" customHeight="1" x14ac:dyDescent="0.25">
      <c r="A42" s="21">
        <v>28</v>
      </c>
      <c r="B42" s="9">
        <f>'القائمة الإسمية للمترشحين'!F42</f>
        <v>0</v>
      </c>
      <c r="C42" s="2">
        <v>0</v>
      </c>
      <c r="D42" s="2">
        <v>0</v>
      </c>
      <c r="E42" s="132" t="str">
        <f t="shared" si="0"/>
        <v xml:space="preserve"> </v>
      </c>
      <c r="F42" s="10">
        <v>0</v>
      </c>
      <c r="G42" s="90">
        <f t="shared" si="1"/>
        <v>0</v>
      </c>
      <c r="H42" s="142">
        <f t="shared" si="2"/>
        <v>0</v>
      </c>
      <c r="I42" s="142">
        <f t="shared" si="3"/>
        <v>0</v>
      </c>
      <c r="J42" s="142">
        <f t="shared" si="4"/>
        <v>0</v>
      </c>
      <c r="K42" s="91">
        <v>0</v>
      </c>
      <c r="L42" s="144">
        <f t="shared" si="5"/>
        <v>0</v>
      </c>
      <c r="M42" s="1"/>
      <c r="P42" s="162">
        <f t="shared" si="6"/>
        <v>0</v>
      </c>
      <c r="Q42" s="1">
        <f t="shared" si="7"/>
        <v>0</v>
      </c>
      <c r="R42" s="1">
        <f t="shared" si="8"/>
        <v>0</v>
      </c>
      <c r="S42" s="1">
        <f t="shared" si="9"/>
        <v>0</v>
      </c>
      <c r="T42" s="1"/>
    </row>
    <row r="43" spans="1:20" ht="18.75" customHeight="1" x14ac:dyDescent="0.25">
      <c r="A43" s="21">
        <v>29</v>
      </c>
      <c r="B43" s="9">
        <f>'القائمة الإسمية للمترشحين'!F43</f>
        <v>0</v>
      </c>
      <c r="C43" s="2">
        <v>0</v>
      </c>
      <c r="D43" s="2">
        <v>0</v>
      </c>
      <c r="E43" s="132" t="str">
        <f t="shared" si="0"/>
        <v xml:space="preserve"> </v>
      </c>
      <c r="F43" s="10">
        <v>0</v>
      </c>
      <c r="G43" s="90">
        <f t="shared" si="1"/>
        <v>0</v>
      </c>
      <c r="H43" s="142">
        <f t="shared" si="2"/>
        <v>0</v>
      </c>
      <c r="I43" s="142">
        <f t="shared" si="3"/>
        <v>0</v>
      </c>
      <c r="J43" s="142">
        <f t="shared" si="4"/>
        <v>0</v>
      </c>
      <c r="K43" s="91">
        <v>0</v>
      </c>
      <c r="L43" s="144">
        <f t="shared" si="5"/>
        <v>0</v>
      </c>
      <c r="P43" s="162">
        <f t="shared" si="6"/>
        <v>0</v>
      </c>
      <c r="Q43" s="1">
        <f t="shared" si="7"/>
        <v>0</v>
      </c>
      <c r="R43" s="1">
        <f t="shared" si="8"/>
        <v>0</v>
      </c>
      <c r="S43" s="1">
        <f t="shared" si="9"/>
        <v>0</v>
      </c>
      <c r="T43" s="1"/>
    </row>
    <row r="44" spans="1:20" ht="18.75" customHeight="1" x14ac:dyDescent="0.25">
      <c r="A44" s="21">
        <v>30</v>
      </c>
      <c r="B44" s="9">
        <f>'القائمة الإسمية للمترشحين'!F44</f>
        <v>0</v>
      </c>
      <c r="C44" s="2">
        <v>0</v>
      </c>
      <c r="D44" s="2">
        <v>0</v>
      </c>
      <c r="E44" s="132" t="str">
        <f t="shared" si="0"/>
        <v xml:space="preserve"> </v>
      </c>
      <c r="F44" s="10">
        <v>0</v>
      </c>
      <c r="G44" s="90">
        <f t="shared" si="1"/>
        <v>0</v>
      </c>
      <c r="H44" s="142">
        <f t="shared" si="2"/>
        <v>0</v>
      </c>
      <c r="I44" s="142">
        <f t="shared" si="3"/>
        <v>0</v>
      </c>
      <c r="J44" s="142">
        <f t="shared" si="4"/>
        <v>0</v>
      </c>
      <c r="K44" s="91">
        <v>0</v>
      </c>
      <c r="L44" s="144">
        <f t="shared" si="5"/>
        <v>0</v>
      </c>
      <c r="P44" s="162">
        <f t="shared" si="6"/>
        <v>0</v>
      </c>
      <c r="Q44" s="1">
        <f t="shared" si="7"/>
        <v>0</v>
      </c>
      <c r="R44" s="1">
        <f t="shared" si="8"/>
        <v>0</v>
      </c>
      <c r="S44" s="1">
        <f t="shared" si="9"/>
        <v>0</v>
      </c>
      <c r="T44" s="1"/>
    </row>
    <row r="45" spans="1:20" ht="18.75" customHeight="1" x14ac:dyDescent="0.25">
      <c r="A45" s="21">
        <v>31</v>
      </c>
      <c r="B45" s="9">
        <f>'القائمة الإسمية للمترشحين'!F45</f>
        <v>0</v>
      </c>
      <c r="C45" s="2">
        <v>0</v>
      </c>
      <c r="D45" s="2">
        <v>0</v>
      </c>
      <c r="E45" s="132" t="str">
        <f t="shared" si="0"/>
        <v xml:space="preserve"> </v>
      </c>
      <c r="F45" s="10">
        <v>0</v>
      </c>
      <c r="G45" s="90">
        <f t="shared" si="1"/>
        <v>0</v>
      </c>
      <c r="H45" s="142">
        <f t="shared" si="2"/>
        <v>0</v>
      </c>
      <c r="I45" s="142">
        <f t="shared" si="3"/>
        <v>0</v>
      </c>
      <c r="J45" s="142">
        <f t="shared" si="4"/>
        <v>0</v>
      </c>
      <c r="K45" s="91">
        <v>0</v>
      </c>
      <c r="L45" s="144">
        <f t="shared" si="5"/>
        <v>0</v>
      </c>
      <c r="P45" s="162">
        <f t="shared" si="6"/>
        <v>0</v>
      </c>
      <c r="Q45" s="1">
        <f t="shared" si="7"/>
        <v>0</v>
      </c>
      <c r="R45" s="1">
        <f t="shared" si="8"/>
        <v>0</v>
      </c>
      <c r="S45" s="1">
        <f t="shared" si="9"/>
        <v>0</v>
      </c>
      <c r="T45" s="1"/>
    </row>
    <row r="46" spans="1:20" ht="18.75" customHeight="1" x14ac:dyDescent="0.25">
      <c r="A46" s="21">
        <v>32</v>
      </c>
      <c r="B46" s="9">
        <f>'القائمة الإسمية للمترشحين'!F46</f>
        <v>0</v>
      </c>
      <c r="C46" s="2">
        <v>0</v>
      </c>
      <c r="D46" s="2">
        <v>0</v>
      </c>
      <c r="E46" s="132" t="str">
        <f t="shared" si="0"/>
        <v xml:space="preserve"> </v>
      </c>
      <c r="F46" s="10">
        <v>0</v>
      </c>
      <c r="G46" s="90">
        <f t="shared" si="1"/>
        <v>0</v>
      </c>
      <c r="H46" s="142">
        <f t="shared" si="2"/>
        <v>0</v>
      </c>
      <c r="I46" s="142">
        <f t="shared" si="3"/>
        <v>0</v>
      </c>
      <c r="J46" s="142">
        <f t="shared" si="4"/>
        <v>0</v>
      </c>
      <c r="K46" s="91">
        <v>0</v>
      </c>
      <c r="L46" s="144">
        <f t="shared" si="5"/>
        <v>0</v>
      </c>
      <c r="P46" s="162">
        <f t="shared" si="6"/>
        <v>0</v>
      </c>
      <c r="Q46" s="1">
        <f t="shared" si="7"/>
        <v>0</v>
      </c>
      <c r="R46" s="1">
        <f t="shared" si="8"/>
        <v>0</v>
      </c>
      <c r="S46" s="1">
        <f t="shared" si="9"/>
        <v>0</v>
      </c>
      <c r="T46" s="1"/>
    </row>
    <row r="47" spans="1:20" s="56" customFormat="1" ht="18.75" customHeight="1" x14ac:dyDescent="0.25">
      <c r="A47" s="21">
        <v>33</v>
      </c>
      <c r="B47" s="9">
        <f>'القائمة الإسمية للمترشحين'!F47</f>
        <v>0</v>
      </c>
      <c r="C47" s="2">
        <v>0</v>
      </c>
      <c r="D47" s="2">
        <v>0</v>
      </c>
      <c r="E47" s="132" t="str">
        <f t="shared" si="0"/>
        <v xml:space="preserve"> </v>
      </c>
      <c r="F47" s="10">
        <v>0</v>
      </c>
      <c r="G47" s="90">
        <f t="shared" si="1"/>
        <v>0</v>
      </c>
      <c r="H47" s="142">
        <f t="shared" si="2"/>
        <v>0</v>
      </c>
      <c r="I47" s="142">
        <f t="shared" si="3"/>
        <v>0</v>
      </c>
      <c r="J47" s="142">
        <f t="shared" si="4"/>
        <v>0</v>
      </c>
      <c r="K47" s="91">
        <v>0</v>
      </c>
      <c r="L47" s="144">
        <f t="shared" si="5"/>
        <v>0</v>
      </c>
      <c r="P47" s="162">
        <f t="shared" si="6"/>
        <v>0</v>
      </c>
      <c r="Q47" s="1">
        <f t="shared" si="7"/>
        <v>0</v>
      </c>
      <c r="R47" s="1">
        <f t="shared" si="8"/>
        <v>0</v>
      </c>
      <c r="S47" s="1">
        <f t="shared" si="9"/>
        <v>0</v>
      </c>
    </row>
    <row r="48" spans="1:20" ht="18.75" customHeight="1" x14ac:dyDescent="0.25">
      <c r="A48" s="21">
        <v>34</v>
      </c>
      <c r="B48" s="9">
        <f>'القائمة الإسمية للمترشحين'!F48</f>
        <v>0</v>
      </c>
      <c r="C48" s="2">
        <v>0</v>
      </c>
      <c r="D48" s="2">
        <v>0</v>
      </c>
      <c r="E48" s="132" t="str">
        <f t="shared" si="0"/>
        <v xml:space="preserve"> </v>
      </c>
      <c r="F48" s="10">
        <v>0</v>
      </c>
      <c r="G48" s="90">
        <f t="shared" si="1"/>
        <v>0</v>
      </c>
      <c r="H48" s="142">
        <f t="shared" si="2"/>
        <v>0</v>
      </c>
      <c r="I48" s="142">
        <f t="shared" si="3"/>
        <v>0</v>
      </c>
      <c r="J48" s="142">
        <f t="shared" si="4"/>
        <v>0</v>
      </c>
      <c r="K48" s="91">
        <v>0</v>
      </c>
      <c r="L48" s="144">
        <f t="shared" si="5"/>
        <v>0</v>
      </c>
      <c r="P48" s="162">
        <f t="shared" si="6"/>
        <v>0</v>
      </c>
      <c r="Q48" s="1">
        <f t="shared" si="7"/>
        <v>0</v>
      </c>
      <c r="R48" s="1">
        <f t="shared" si="8"/>
        <v>0</v>
      </c>
      <c r="S48" s="1">
        <f t="shared" si="9"/>
        <v>0</v>
      </c>
      <c r="T48" s="1"/>
    </row>
    <row r="49" spans="1:20" ht="18.75" customHeight="1" x14ac:dyDescent="0.25">
      <c r="A49" s="21">
        <v>35</v>
      </c>
      <c r="B49" s="9">
        <f>'القائمة الإسمية للمترشحين'!F49</f>
        <v>0</v>
      </c>
      <c r="C49" s="2">
        <v>0</v>
      </c>
      <c r="D49" s="2">
        <v>0</v>
      </c>
      <c r="E49" s="132" t="str">
        <f t="shared" si="0"/>
        <v xml:space="preserve"> </v>
      </c>
      <c r="F49" s="10">
        <v>0</v>
      </c>
      <c r="G49" s="90">
        <f t="shared" si="1"/>
        <v>0</v>
      </c>
      <c r="H49" s="142">
        <f t="shared" si="2"/>
        <v>0</v>
      </c>
      <c r="I49" s="142">
        <f t="shared" si="3"/>
        <v>0</v>
      </c>
      <c r="J49" s="142">
        <f t="shared" si="4"/>
        <v>0</v>
      </c>
      <c r="K49" s="91">
        <v>0</v>
      </c>
      <c r="L49" s="144">
        <f t="shared" si="5"/>
        <v>0</v>
      </c>
      <c r="P49" s="162">
        <f t="shared" si="6"/>
        <v>0</v>
      </c>
      <c r="Q49" s="1">
        <f t="shared" si="7"/>
        <v>0</v>
      </c>
      <c r="R49" s="1">
        <f t="shared" si="8"/>
        <v>0</v>
      </c>
      <c r="S49" s="1">
        <f t="shared" si="9"/>
        <v>0</v>
      </c>
      <c r="T49" s="1"/>
    </row>
    <row r="50" spans="1:20" ht="18.75" customHeight="1" x14ac:dyDescent="0.25">
      <c r="A50" s="21">
        <v>36</v>
      </c>
      <c r="B50" s="9">
        <f>'القائمة الإسمية للمترشحين'!F50</f>
        <v>0</v>
      </c>
      <c r="C50" s="2">
        <v>0</v>
      </c>
      <c r="D50" s="2">
        <v>0</v>
      </c>
      <c r="E50" s="132" t="str">
        <f t="shared" si="0"/>
        <v xml:space="preserve"> </v>
      </c>
      <c r="F50" s="10">
        <v>0</v>
      </c>
      <c r="G50" s="90">
        <f t="shared" si="1"/>
        <v>0</v>
      </c>
      <c r="H50" s="142">
        <f t="shared" si="2"/>
        <v>0</v>
      </c>
      <c r="I50" s="142">
        <f t="shared" si="3"/>
        <v>0</v>
      </c>
      <c r="J50" s="142">
        <f t="shared" si="4"/>
        <v>0</v>
      </c>
      <c r="K50" s="91">
        <v>0</v>
      </c>
      <c r="L50" s="144">
        <f t="shared" si="5"/>
        <v>0</v>
      </c>
      <c r="P50" s="162">
        <f t="shared" si="6"/>
        <v>0</v>
      </c>
      <c r="Q50" s="1">
        <f t="shared" si="7"/>
        <v>0</v>
      </c>
      <c r="R50" s="1">
        <f t="shared" si="8"/>
        <v>0</v>
      </c>
      <c r="S50" s="1">
        <f t="shared" si="9"/>
        <v>0</v>
      </c>
      <c r="T50" s="1"/>
    </row>
    <row r="51" spans="1:20" ht="18.75" x14ac:dyDescent="0.25">
      <c r="A51" s="21">
        <v>37</v>
      </c>
      <c r="B51" s="9">
        <f>'القائمة الإسمية للمترشحين'!F51</f>
        <v>0</v>
      </c>
      <c r="C51" s="2">
        <v>0</v>
      </c>
      <c r="D51" s="2">
        <v>0</v>
      </c>
      <c r="E51" s="132" t="str">
        <f t="shared" si="0"/>
        <v xml:space="preserve"> </v>
      </c>
      <c r="F51" s="10">
        <v>0</v>
      </c>
      <c r="G51" s="90">
        <f t="shared" si="1"/>
        <v>0</v>
      </c>
      <c r="H51" s="142">
        <f t="shared" si="2"/>
        <v>0</v>
      </c>
      <c r="I51" s="142">
        <f t="shared" si="3"/>
        <v>0</v>
      </c>
      <c r="J51" s="142">
        <f t="shared" si="4"/>
        <v>0</v>
      </c>
      <c r="K51" s="91">
        <v>0</v>
      </c>
      <c r="L51" s="144">
        <f t="shared" si="5"/>
        <v>0</v>
      </c>
      <c r="P51" s="162">
        <f t="shared" si="6"/>
        <v>0</v>
      </c>
      <c r="Q51" s="1">
        <f t="shared" si="7"/>
        <v>0</v>
      </c>
      <c r="R51" s="1">
        <f t="shared" si="8"/>
        <v>0</v>
      </c>
      <c r="S51" s="1">
        <f t="shared" si="9"/>
        <v>0</v>
      </c>
      <c r="T51" s="1"/>
    </row>
    <row r="52" spans="1:20" ht="18.75" x14ac:dyDescent="0.25">
      <c r="A52" s="21">
        <v>38</v>
      </c>
      <c r="B52" s="9">
        <f>'القائمة الإسمية للمترشحين'!F52</f>
        <v>0</v>
      </c>
      <c r="C52" s="2">
        <v>0</v>
      </c>
      <c r="D52" s="2">
        <v>0</v>
      </c>
      <c r="E52" s="132" t="str">
        <f t="shared" si="0"/>
        <v xml:space="preserve"> </v>
      </c>
      <c r="F52" s="10">
        <v>0</v>
      </c>
      <c r="G52" s="90">
        <f t="shared" si="1"/>
        <v>0</v>
      </c>
      <c r="H52" s="142">
        <f t="shared" si="2"/>
        <v>0</v>
      </c>
      <c r="I52" s="142">
        <f t="shared" si="3"/>
        <v>0</v>
      </c>
      <c r="J52" s="142">
        <f t="shared" si="4"/>
        <v>0</v>
      </c>
      <c r="K52" s="91">
        <v>0</v>
      </c>
      <c r="L52" s="144">
        <f t="shared" si="5"/>
        <v>0</v>
      </c>
      <c r="P52" s="162">
        <f t="shared" si="6"/>
        <v>0</v>
      </c>
      <c r="Q52" s="1">
        <f t="shared" si="7"/>
        <v>0</v>
      </c>
      <c r="R52" s="1">
        <f t="shared" si="8"/>
        <v>0</v>
      </c>
      <c r="S52" s="1">
        <f t="shared" si="9"/>
        <v>0</v>
      </c>
      <c r="T52" s="1"/>
    </row>
    <row r="53" spans="1:20" ht="18.75" x14ac:dyDescent="0.25">
      <c r="A53" s="21">
        <v>39</v>
      </c>
      <c r="B53" s="9">
        <f>'القائمة الإسمية للمترشحين'!F53</f>
        <v>0</v>
      </c>
      <c r="C53" s="2">
        <v>0</v>
      </c>
      <c r="D53" s="2">
        <v>0</v>
      </c>
      <c r="E53" s="132" t="str">
        <f t="shared" si="0"/>
        <v xml:space="preserve"> </v>
      </c>
      <c r="F53" s="10">
        <v>0</v>
      </c>
      <c r="G53" s="90">
        <f t="shared" si="1"/>
        <v>0</v>
      </c>
      <c r="H53" s="142">
        <f t="shared" si="2"/>
        <v>0</v>
      </c>
      <c r="I53" s="142">
        <f t="shared" si="3"/>
        <v>0</v>
      </c>
      <c r="J53" s="142">
        <f t="shared" si="4"/>
        <v>0</v>
      </c>
      <c r="K53" s="91">
        <v>0</v>
      </c>
      <c r="L53" s="144">
        <f t="shared" si="5"/>
        <v>0</v>
      </c>
      <c r="P53" s="162">
        <f t="shared" si="6"/>
        <v>0</v>
      </c>
      <c r="Q53" s="1">
        <f t="shared" si="7"/>
        <v>0</v>
      </c>
      <c r="R53" s="1">
        <f t="shared" si="8"/>
        <v>0</v>
      </c>
      <c r="S53" s="1">
        <f t="shared" si="9"/>
        <v>0</v>
      </c>
      <c r="T53" s="1"/>
    </row>
    <row r="54" spans="1:20" ht="18.75" x14ac:dyDescent="0.25">
      <c r="A54" s="21">
        <v>40</v>
      </c>
      <c r="B54" s="9">
        <f>'القائمة الإسمية للمترشحين'!F54</f>
        <v>0</v>
      </c>
      <c r="C54" s="2">
        <v>0</v>
      </c>
      <c r="D54" s="2">
        <v>0</v>
      </c>
      <c r="E54" s="132" t="str">
        <f t="shared" si="0"/>
        <v xml:space="preserve"> </v>
      </c>
      <c r="F54" s="10">
        <v>0</v>
      </c>
      <c r="G54" s="90">
        <f t="shared" si="1"/>
        <v>0</v>
      </c>
      <c r="H54" s="142">
        <f t="shared" si="2"/>
        <v>0</v>
      </c>
      <c r="I54" s="142">
        <f t="shared" si="3"/>
        <v>0</v>
      </c>
      <c r="J54" s="142">
        <f t="shared" si="4"/>
        <v>0</v>
      </c>
      <c r="K54" s="91">
        <v>0</v>
      </c>
      <c r="L54" s="144">
        <f t="shared" si="5"/>
        <v>0</v>
      </c>
      <c r="P54" s="162">
        <f t="shared" si="6"/>
        <v>0</v>
      </c>
      <c r="Q54" s="1">
        <f t="shared" si="7"/>
        <v>0</v>
      </c>
      <c r="R54" s="1">
        <f t="shared" si="8"/>
        <v>0</v>
      </c>
      <c r="S54" s="1">
        <f t="shared" si="9"/>
        <v>0</v>
      </c>
      <c r="T54" s="1"/>
    </row>
    <row r="55" spans="1:20" ht="18.75" x14ac:dyDescent="0.25">
      <c r="A55" s="21">
        <v>41</v>
      </c>
      <c r="B55" s="9">
        <f>'القائمة الإسمية للمترشحين'!F55</f>
        <v>0</v>
      </c>
      <c r="C55" s="2">
        <v>0</v>
      </c>
      <c r="D55" s="2">
        <v>0</v>
      </c>
      <c r="E55" s="132" t="str">
        <f t="shared" si="0"/>
        <v xml:space="preserve"> </v>
      </c>
      <c r="F55" s="10">
        <v>0</v>
      </c>
      <c r="G55" s="90">
        <f t="shared" si="1"/>
        <v>0</v>
      </c>
      <c r="H55" s="142">
        <f t="shared" si="2"/>
        <v>0</v>
      </c>
      <c r="I55" s="142">
        <f t="shared" si="3"/>
        <v>0</v>
      </c>
      <c r="J55" s="142">
        <f t="shared" si="4"/>
        <v>0</v>
      </c>
      <c r="K55" s="91">
        <v>0</v>
      </c>
      <c r="L55" s="144">
        <f t="shared" si="5"/>
        <v>0</v>
      </c>
      <c r="P55" s="162">
        <f t="shared" si="6"/>
        <v>0</v>
      </c>
      <c r="Q55" s="1">
        <f t="shared" si="7"/>
        <v>0</v>
      </c>
      <c r="R55" s="1">
        <f t="shared" si="8"/>
        <v>0</v>
      </c>
      <c r="S55" s="1">
        <f t="shared" si="9"/>
        <v>0</v>
      </c>
      <c r="T55" s="1"/>
    </row>
    <row r="56" spans="1:20" ht="18.75" x14ac:dyDescent="0.25">
      <c r="A56" s="21">
        <v>42</v>
      </c>
      <c r="B56" s="9">
        <f>'القائمة الإسمية للمترشحين'!F56</f>
        <v>0</v>
      </c>
      <c r="C56" s="2">
        <v>0</v>
      </c>
      <c r="D56" s="2">
        <v>0</v>
      </c>
      <c r="E56" s="132" t="str">
        <f t="shared" si="0"/>
        <v xml:space="preserve"> </v>
      </c>
      <c r="F56" s="10">
        <v>0</v>
      </c>
      <c r="G56" s="90">
        <f t="shared" si="1"/>
        <v>0</v>
      </c>
      <c r="H56" s="142">
        <f t="shared" si="2"/>
        <v>0</v>
      </c>
      <c r="I56" s="142">
        <f t="shared" si="3"/>
        <v>0</v>
      </c>
      <c r="J56" s="142">
        <f t="shared" si="4"/>
        <v>0</v>
      </c>
      <c r="K56" s="91">
        <v>0</v>
      </c>
      <c r="L56" s="144">
        <f t="shared" si="5"/>
        <v>0</v>
      </c>
      <c r="P56" s="162">
        <f t="shared" si="6"/>
        <v>0</v>
      </c>
      <c r="Q56" s="1">
        <f t="shared" si="7"/>
        <v>0</v>
      </c>
      <c r="R56" s="1">
        <f t="shared" si="8"/>
        <v>0</v>
      </c>
      <c r="S56" s="1">
        <f t="shared" si="9"/>
        <v>0</v>
      </c>
      <c r="T56" s="1"/>
    </row>
    <row r="57" spans="1:20" ht="18.75" x14ac:dyDescent="0.25">
      <c r="A57" s="21">
        <v>43</v>
      </c>
      <c r="B57" s="9">
        <f>'القائمة الإسمية للمترشحين'!F57</f>
        <v>0</v>
      </c>
      <c r="C57" s="2">
        <v>0</v>
      </c>
      <c r="D57" s="2">
        <v>0</v>
      </c>
      <c r="E57" s="132" t="str">
        <f t="shared" si="0"/>
        <v xml:space="preserve"> </v>
      </c>
      <c r="F57" s="10">
        <v>0</v>
      </c>
      <c r="G57" s="90">
        <f t="shared" si="1"/>
        <v>0</v>
      </c>
      <c r="H57" s="142">
        <f t="shared" si="2"/>
        <v>0</v>
      </c>
      <c r="I57" s="142">
        <f t="shared" si="3"/>
        <v>0</v>
      </c>
      <c r="J57" s="142">
        <f t="shared" si="4"/>
        <v>0</v>
      </c>
      <c r="K57" s="91">
        <v>0</v>
      </c>
      <c r="L57" s="144">
        <f t="shared" si="5"/>
        <v>0</v>
      </c>
      <c r="P57" s="162">
        <f t="shared" si="6"/>
        <v>0</v>
      </c>
      <c r="Q57" s="1">
        <f t="shared" si="7"/>
        <v>0</v>
      </c>
      <c r="R57" s="1">
        <f t="shared" si="8"/>
        <v>0</v>
      </c>
      <c r="S57" s="1">
        <f t="shared" si="9"/>
        <v>0</v>
      </c>
      <c r="T57" s="1"/>
    </row>
    <row r="58" spans="1:20" ht="18.75" x14ac:dyDescent="0.25">
      <c r="A58" s="21">
        <v>44</v>
      </c>
      <c r="B58" s="9">
        <f>'القائمة الإسمية للمترشحين'!F58</f>
        <v>0</v>
      </c>
      <c r="C58" s="2">
        <v>0</v>
      </c>
      <c r="D58" s="2">
        <v>0</v>
      </c>
      <c r="E58" s="132" t="str">
        <f t="shared" si="0"/>
        <v xml:space="preserve"> </v>
      </c>
      <c r="F58" s="10">
        <v>0</v>
      </c>
      <c r="G58" s="90">
        <f t="shared" si="1"/>
        <v>0</v>
      </c>
      <c r="H58" s="142">
        <f t="shared" si="2"/>
        <v>0</v>
      </c>
      <c r="I58" s="142">
        <f t="shared" si="3"/>
        <v>0</v>
      </c>
      <c r="J58" s="142">
        <f t="shared" si="4"/>
        <v>0</v>
      </c>
      <c r="K58" s="91">
        <v>0</v>
      </c>
      <c r="L58" s="144">
        <f t="shared" si="5"/>
        <v>0</v>
      </c>
      <c r="P58" s="162">
        <f t="shared" si="6"/>
        <v>0</v>
      </c>
      <c r="Q58" s="1">
        <f t="shared" si="7"/>
        <v>0</v>
      </c>
      <c r="R58" s="1">
        <f t="shared" si="8"/>
        <v>0</v>
      </c>
      <c r="S58" s="1">
        <f t="shared" si="9"/>
        <v>0</v>
      </c>
      <c r="T58" s="1"/>
    </row>
    <row r="59" spans="1:20" ht="18.75" x14ac:dyDescent="0.25">
      <c r="A59" s="21">
        <v>45</v>
      </c>
      <c r="B59" s="9">
        <f>'القائمة الإسمية للمترشحين'!F59</f>
        <v>0</v>
      </c>
      <c r="C59" s="2">
        <v>0</v>
      </c>
      <c r="D59" s="2">
        <v>0</v>
      </c>
      <c r="E59" s="132" t="str">
        <f t="shared" si="0"/>
        <v xml:space="preserve"> </v>
      </c>
      <c r="F59" s="10">
        <v>0</v>
      </c>
      <c r="G59" s="90">
        <f t="shared" si="1"/>
        <v>0</v>
      </c>
      <c r="H59" s="142">
        <f t="shared" si="2"/>
        <v>0</v>
      </c>
      <c r="I59" s="142">
        <f t="shared" si="3"/>
        <v>0</v>
      </c>
      <c r="J59" s="142">
        <f t="shared" si="4"/>
        <v>0</v>
      </c>
      <c r="K59" s="91">
        <v>0</v>
      </c>
      <c r="L59" s="144">
        <f t="shared" si="5"/>
        <v>0</v>
      </c>
      <c r="P59" s="162">
        <f t="shared" si="6"/>
        <v>0</v>
      </c>
      <c r="Q59" s="1">
        <f t="shared" si="7"/>
        <v>0</v>
      </c>
      <c r="R59" s="1">
        <f t="shared" si="8"/>
        <v>0</v>
      </c>
      <c r="S59" s="1">
        <f t="shared" si="9"/>
        <v>0</v>
      </c>
      <c r="T59" s="1"/>
    </row>
    <row r="60" spans="1:20" ht="18.75" x14ac:dyDescent="0.25">
      <c r="A60" s="21">
        <v>46</v>
      </c>
      <c r="B60" s="9">
        <f>'القائمة الإسمية للمترشحين'!F60</f>
        <v>0</v>
      </c>
      <c r="C60" s="2">
        <v>0</v>
      </c>
      <c r="D60" s="2">
        <v>0</v>
      </c>
      <c r="E60" s="132" t="str">
        <f t="shared" si="0"/>
        <v xml:space="preserve"> </v>
      </c>
      <c r="F60" s="10">
        <v>0</v>
      </c>
      <c r="G60" s="90">
        <f t="shared" si="1"/>
        <v>0</v>
      </c>
      <c r="H60" s="142">
        <f t="shared" si="2"/>
        <v>0</v>
      </c>
      <c r="I60" s="142">
        <f t="shared" si="3"/>
        <v>0</v>
      </c>
      <c r="J60" s="142">
        <f t="shared" si="4"/>
        <v>0</v>
      </c>
      <c r="K60" s="91">
        <v>0</v>
      </c>
      <c r="L60" s="144">
        <f t="shared" si="5"/>
        <v>0</v>
      </c>
      <c r="P60" s="162">
        <f t="shared" si="6"/>
        <v>0</v>
      </c>
      <c r="Q60" s="1">
        <f t="shared" si="7"/>
        <v>0</v>
      </c>
      <c r="R60" s="1">
        <f t="shared" si="8"/>
        <v>0</v>
      </c>
      <c r="S60" s="1">
        <f t="shared" si="9"/>
        <v>0</v>
      </c>
      <c r="T60" s="1"/>
    </row>
    <row r="61" spans="1:20" ht="18.75" x14ac:dyDescent="0.25">
      <c r="A61" s="21">
        <v>47</v>
      </c>
      <c r="B61" s="9">
        <f>'القائمة الإسمية للمترشحين'!F61</f>
        <v>0</v>
      </c>
      <c r="C61" s="2">
        <v>0</v>
      </c>
      <c r="D61" s="2">
        <v>0</v>
      </c>
      <c r="E61" s="132" t="str">
        <f t="shared" si="0"/>
        <v xml:space="preserve"> </v>
      </c>
      <c r="F61" s="10">
        <v>0</v>
      </c>
      <c r="G61" s="90">
        <f t="shared" si="1"/>
        <v>0</v>
      </c>
      <c r="H61" s="142">
        <f t="shared" si="2"/>
        <v>0</v>
      </c>
      <c r="I61" s="142">
        <f t="shared" si="3"/>
        <v>0</v>
      </c>
      <c r="J61" s="142">
        <f t="shared" si="4"/>
        <v>0</v>
      </c>
      <c r="K61" s="91">
        <v>0</v>
      </c>
      <c r="L61" s="144">
        <f t="shared" si="5"/>
        <v>0</v>
      </c>
      <c r="P61" s="162">
        <f t="shared" si="6"/>
        <v>0</v>
      </c>
      <c r="Q61" s="1">
        <f t="shared" si="7"/>
        <v>0</v>
      </c>
      <c r="R61" s="1">
        <f t="shared" si="8"/>
        <v>0</v>
      </c>
      <c r="S61" s="1">
        <f t="shared" si="9"/>
        <v>0</v>
      </c>
      <c r="T61" s="1"/>
    </row>
    <row r="62" spans="1:20" ht="18.75" x14ac:dyDescent="0.25">
      <c r="A62" s="21">
        <v>48</v>
      </c>
      <c r="B62" s="9">
        <f>'القائمة الإسمية للمترشحين'!F62</f>
        <v>0</v>
      </c>
      <c r="C62" s="2">
        <v>0</v>
      </c>
      <c r="D62" s="2">
        <v>0</v>
      </c>
      <c r="E62" s="132" t="str">
        <f t="shared" si="0"/>
        <v xml:space="preserve"> </v>
      </c>
      <c r="F62" s="10">
        <v>0</v>
      </c>
      <c r="G62" s="90">
        <f t="shared" si="1"/>
        <v>0</v>
      </c>
      <c r="H62" s="142">
        <f t="shared" si="2"/>
        <v>0</v>
      </c>
      <c r="I62" s="142">
        <f t="shared" si="3"/>
        <v>0</v>
      </c>
      <c r="J62" s="142">
        <f t="shared" si="4"/>
        <v>0</v>
      </c>
      <c r="K62" s="91">
        <v>0</v>
      </c>
      <c r="L62" s="144">
        <f t="shared" si="5"/>
        <v>0</v>
      </c>
      <c r="P62" s="162">
        <f t="shared" si="6"/>
        <v>0</v>
      </c>
      <c r="Q62" s="1">
        <f t="shared" si="7"/>
        <v>0</v>
      </c>
      <c r="R62" s="1">
        <f t="shared" si="8"/>
        <v>0</v>
      </c>
      <c r="S62" s="1">
        <f t="shared" si="9"/>
        <v>0</v>
      </c>
      <c r="T62" s="1"/>
    </row>
    <row r="63" spans="1:20" ht="18.75" x14ac:dyDescent="0.25">
      <c r="A63" s="21">
        <v>49</v>
      </c>
      <c r="B63" s="9">
        <f>'القائمة الإسمية للمترشحين'!F63</f>
        <v>0</v>
      </c>
      <c r="C63" s="2">
        <v>0</v>
      </c>
      <c r="D63" s="2">
        <v>0</v>
      </c>
      <c r="E63" s="132" t="str">
        <f t="shared" si="0"/>
        <v xml:space="preserve"> </v>
      </c>
      <c r="F63" s="10">
        <v>0</v>
      </c>
      <c r="G63" s="90">
        <f t="shared" si="1"/>
        <v>0</v>
      </c>
      <c r="H63" s="142">
        <f t="shared" si="2"/>
        <v>0</v>
      </c>
      <c r="I63" s="142">
        <f t="shared" si="3"/>
        <v>0</v>
      </c>
      <c r="J63" s="142">
        <f t="shared" si="4"/>
        <v>0</v>
      </c>
      <c r="K63" s="91">
        <v>0</v>
      </c>
      <c r="L63" s="144">
        <f t="shared" si="5"/>
        <v>0</v>
      </c>
      <c r="M63" s="47" t="s">
        <v>19</v>
      </c>
      <c r="P63" s="162">
        <f t="shared" si="6"/>
        <v>0</v>
      </c>
      <c r="Q63" s="1">
        <f t="shared" si="7"/>
        <v>0</v>
      </c>
      <c r="R63" s="1">
        <f t="shared" si="8"/>
        <v>0</v>
      </c>
      <c r="S63" s="1">
        <f t="shared" si="9"/>
        <v>0</v>
      </c>
      <c r="T63" s="1"/>
    </row>
    <row r="64" spans="1:20" ht="18.75" x14ac:dyDescent="0.25">
      <c r="A64" s="21">
        <v>50</v>
      </c>
      <c r="B64" s="9">
        <f>'القائمة الإسمية للمترشحين'!F64</f>
        <v>0</v>
      </c>
      <c r="C64" s="2">
        <v>0</v>
      </c>
      <c r="D64" s="2">
        <v>0</v>
      </c>
      <c r="E64" s="132" t="str">
        <f t="shared" si="0"/>
        <v xml:space="preserve"> </v>
      </c>
      <c r="F64" s="10">
        <v>0</v>
      </c>
      <c r="G64" s="90">
        <f t="shared" si="1"/>
        <v>0</v>
      </c>
      <c r="H64" s="142">
        <f t="shared" si="2"/>
        <v>0</v>
      </c>
      <c r="I64" s="142">
        <f t="shared" si="3"/>
        <v>0</v>
      </c>
      <c r="J64" s="142">
        <f t="shared" si="4"/>
        <v>0</v>
      </c>
      <c r="K64" s="91">
        <v>0</v>
      </c>
      <c r="L64" s="144">
        <f t="shared" si="5"/>
        <v>0</v>
      </c>
      <c r="P64" s="162">
        <f t="shared" si="6"/>
        <v>0</v>
      </c>
      <c r="Q64" s="1">
        <f t="shared" si="7"/>
        <v>0</v>
      </c>
      <c r="R64" s="1">
        <f t="shared" si="8"/>
        <v>0</v>
      </c>
      <c r="S64" s="1">
        <f t="shared" si="9"/>
        <v>0</v>
      </c>
      <c r="T64" s="1"/>
    </row>
    <row r="65" spans="1:20" ht="18.75" x14ac:dyDescent="0.25">
      <c r="A65" s="21">
        <v>51</v>
      </c>
      <c r="B65" s="9">
        <f>'القائمة الإسمية للمترشحين'!F65</f>
        <v>0</v>
      </c>
      <c r="C65" s="2">
        <v>0</v>
      </c>
      <c r="D65" s="2">
        <v>0</v>
      </c>
      <c r="E65" s="132" t="str">
        <f t="shared" si="0"/>
        <v xml:space="preserve"> </v>
      </c>
      <c r="F65" s="10">
        <v>0</v>
      </c>
      <c r="G65" s="90">
        <f t="shared" si="1"/>
        <v>0</v>
      </c>
      <c r="H65" s="142">
        <f t="shared" si="2"/>
        <v>0</v>
      </c>
      <c r="I65" s="142">
        <f t="shared" si="3"/>
        <v>0</v>
      </c>
      <c r="J65" s="142">
        <f t="shared" si="4"/>
        <v>0</v>
      </c>
      <c r="K65" s="91">
        <v>0</v>
      </c>
      <c r="L65" s="144">
        <f t="shared" si="5"/>
        <v>0</v>
      </c>
      <c r="P65" s="162">
        <f t="shared" si="6"/>
        <v>0</v>
      </c>
      <c r="Q65" s="1">
        <f t="shared" si="7"/>
        <v>0</v>
      </c>
      <c r="R65" s="1">
        <f t="shared" si="8"/>
        <v>0</v>
      </c>
      <c r="S65" s="1">
        <f t="shared" si="9"/>
        <v>0</v>
      </c>
      <c r="T65" s="1"/>
    </row>
    <row r="68" spans="1:20" x14ac:dyDescent="0.25">
      <c r="L68" s="48" t="s">
        <v>34</v>
      </c>
    </row>
  </sheetData>
  <mergeCells count="6">
    <mergeCell ref="A12:A13"/>
    <mergeCell ref="A5:M5"/>
    <mergeCell ref="B6:L6"/>
    <mergeCell ref="A7:L7"/>
    <mergeCell ref="A11:X11"/>
    <mergeCell ref="B10:L10"/>
  </mergeCells>
  <printOptions horizontalCentered="1"/>
  <pageMargins left="0.70866141732283472" right="0.70866141732283472" top="0.55118110236220474" bottom="0.55118110236220474" header="0.31496062992125984" footer="0.31496062992125984"/>
  <pageSetup paperSize="9" scale="70" orientation="portrait" verticalDpi="1200" r:id="rId1"/>
  <headerFooter>
    <oddFooter xml:space="preserve">&amp;L&amp;P&amp;Rمحضر التصحيح الثاني مسابقة الدكتوراه </oddFooter>
  </headerFooter>
  <rowBreaks count="1" manualBreakCount="1">
    <brk id="57"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9"/>
  <sheetViews>
    <sheetView rightToLeft="1" tabSelected="1" view="pageBreakPreview" topLeftCell="A12" zoomScale="85" zoomScaleNormal="85" zoomScaleSheetLayoutView="85" workbookViewId="0">
      <selection activeCell="A67" sqref="A67"/>
    </sheetView>
  </sheetViews>
  <sheetFormatPr defaultColWidth="11" defaultRowHeight="18.75" x14ac:dyDescent="0.25"/>
  <cols>
    <col min="1" max="1" width="6.5703125" style="61" customWidth="1"/>
    <col min="2" max="2" width="21" style="62" customWidth="1"/>
    <col min="3" max="3" width="46.140625" style="62" customWidth="1"/>
    <col min="4" max="4" width="40" style="62" customWidth="1"/>
    <col min="5" max="5" width="25" style="62" customWidth="1"/>
    <col min="6" max="6" width="20.140625" style="62" customWidth="1"/>
    <col min="7" max="7" width="22.85546875" style="62" customWidth="1"/>
    <col min="8" max="8" width="22.42578125" style="62" customWidth="1"/>
    <col min="9" max="16384" width="11" style="62"/>
  </cols>
  <sheetData>
    <row r="1" spans="1:7" s="58" customFormat="1" ht="22.5" customHeight="1" x14ac:dyDescent="0.3">
      <c r="A1" s="182" t="s">
        <v>10</v>
      </c>
      <c r="B1" s="182"/>
      <c r="C1" s="182"/>
      <c r="D1" s="182"/>
      <c r="E1" s="182"/>
      <c r="F1" s="182"/>
      <c r="G1" s="182"/>
    </row>
    <row r="2" spans="1:7" s="58" customFormat="1" ht="22.5" customHeight="1" x14ac:dyDescent="0.3">
      <c r="A2" s="182" t="s">
        <v>11</v>
      </c>
      <c r="B2" s="182"/>
      <c r="C2" s="182"/>
      <c r="D2" s="182"/>
      <c r="E2" s="182"/>
      <c r="F2" s="182"/>
      <c r="G2" s="182"/>
    </row>
    <row r="3" spans="1:7" s="58" customFormat="1" ht="22.5" customHeight="1" x14ac:dyDescent="0.3">
      <c r="A3" s="182" t="s">
        <v>12</v>
      </c>
      <c r="B3" s="182"/>
      <c r="C3" s="182"/>
      <c r="D3" s="182"/>
      <c r="E3" s="182"/>
      <c r="F3" s="182"/>
      <c r="G3" s="182"/>
    </row>
    <row r="4" spans="1:7" s="58" customFormat="1" ht="22.5" customHeight="1" x14ac:dyDescent="0.3">
      <c r="A4" s="182" t="s">
        <v>15</v>
      </c>
      <c r="B4" s="182"/>
      <c r="C4" s="182"/>
      <c r="D4" s="182"/>
      <c r="E4" s="182"/>
      <c r="F4" s="182"/>
      <c r="G4" s="182"/>
    </row>
    <row r="5" spans="1:7" s="58" customFormat="1" ht="13.5" customHeight="1" x14ac:dyDescent="0.4">
      <c r="A5" s="182"/>
      <c r="B5" s="182"/>
      <c r="C5" s="182"/>
      <c r="D5" s="59"/>
      <c r="E5" s="59"/>
      <c r="F5" s="59"/>
      <c r="G5" s="59"/>
    </row>
    <row r="6" spans="1:7" s="58" customFormat="1" ht="22.5" customHeight="1" x14ac:dyDescent="0.3">
      <c r="A6" s="183" t="s">
        <v>13</v>
      </c>
      <c r="B6" s="183"/>
      <c r="C6" s="183"/>
      <c r="D6" s="183"/>
      <c r="E6" s="183"/>
      <c r="F6" s="183"/>
      <c r="G6" s="183"/>
    </row>
    <row r="7" spans="1:7" s="58" customFormat="1" ht="22.5" customHeight="1" x14ac:dyDescent="0.3">
      <c r="A7" s="185" t="s">
        <v>14</v>
      </c>
      <c r="B7" s="185"/>
      <c r="C7" s="185"/>
      <c r="D7" s="185"/>
      <c r="E7" s="185"/>
      <c r="F7" s="185"/>
      <c r="G7" s="185"/>
    </row>
    <row r="8" spans="1:7" s="58" customFormat="1" ht="22.5" customHeight="1" x14ac:dyDescent="0.3">
      <c r="A8" s="186" t="s">
        <v>16</v>
      </c>
      <c r="B8" s="186"/>
      <c r="C8" s="186"/>
      <c r="D8" s="186"/>
      <c r="E8" s="186"/>
      <c r="F8" s="186"/>
      <c r="G8" s="186"/>
    </row>
    <row r="9" spans="1:7" s="58" customFormat="1" ht="22.5" customHeight="1" x14ac:dyDescent="0.4">
      <c r="A9" s="60"/>
      <c r="B9" s="60"/>
      <c r="C9" s="60"/>
      <c r="D9" s="59"/>
      <c r="E9" s="59"/>
      <c r="F9" s="59"/>
      <c r="G9" s="59"/>
    </row>
    <row r="10" spans="1:7" s="58" customFormat="1" ht="21" customHeight="1" x14ac:dyDescent="0.3">
      <c r="A10" s="187" t="s">
        <v>48</v>
      </c>
      <c r="B10" s="187"/>
      <c r="C10" s="187"/>
      <c r="D10" s="187"/>
      <c r="E10" s="187"/>
      <c r="F10" s="187"/>
      <c r="G10" s="187"/>
    </row>
    <row r="11" spans="1:7" s="96" customFormat="1" ht="21" customHeight="1" x14ac:dyDescent="0.3">
      <c r="A11" s="95"/>
      <c r="B11" s="95"/>
      <c r="C11" s="95"/>
      <c r="D11" s="95"/>
      <c r="E11" s="163" t="s">
        <v>54</v>
      </c>
      <c r="F11" s="163">
        <v>1</v>
      </c>
      <c r="G11" s="95"/>
    </row>
    <row r="12" spans="1:7" s="96" customFormat="1" ht="21" customHeight="1" x14ac:dyDescent="0.3">
      <c r="A12" s="95"/>
      <c r="B12" s="95"/>
      <c r="C12" s="95"/>
      <c r="D12" s="95"/>
      <c r="E12" s="163" t="s">
        <v>55</v>
      </c>
      <c r="F12" s="163">
        <v>3</v>
      </c>
      <c r="G12" s="95"/>
    </row>
    <row r="13" spans="1:7" ht="19.5" thickBot="1" x14ac:dyDescent="0.3"/>
    <row r="14" spans="1:7" ht="19.5" thickBot="1" x14ac:dyDescent="0.3">
      <c r="A14" s="191"/>
      <c r="B14" s="63" t="s">
        <v>8</v>
      </c>
      <c r="C14" s="93"/>
      <c r="D14" s="94"/>
      <c r="E14" s="188"/>
      <c r="F14" s="189"/>
      <c r="G14" s="190"/>
    </row>
    <row r="15" spans="1:7" ht="35.25" customHeight="1" thickBot="1" x14ac:dyDescent="0.3">
      <c r="A15" s="192"/>
      <c r="B15" s="64"/>
      <c r="C15" s="65" t="s">
        <v>17</v>
      </c>
      <c r="D15" s="66" t="s">
        <v>18</v>
      </c>
      <c r="E15" s="67"/>
      <c r="F15" s="67"/>
      <c r="G15" s="68"/>
    </row>
    <row r="16" spans="1:7" ht="27" customHeight="1" thickBot="1" x14ac:dyDescent="0.3">
      <c r="A16" s="69" t="s">
        <v>39</v>
      </c>
      <c r="B16" s="70" t="s">
        <v>38</v>
      </c>
      <c r="C16" s="126" t="s">
        <v>3</v>
      </c>
      <c r="D16" s="127" t="s">
        <v>4</v>
      </c>
      <c r="E16" s="128" t="s">
        <v>5</v>
      </c>
      <c r="F16" s="129" t="s">
        <v>6</v>
      </c>
      <c r="G16" s="130" t="s">
        <v>7</v>
      </c>
    </row>
    <row r="17" spans="1:16" ht="22.5" customHeight="1" x14ac:dyDescent="0.25">
      <c r="A17" s="71">
        <v>1</v>
      </c>
      <c r="B17" s="71" t="str">
        <f>'القائمة الإسمية للمترشحين'!F15</f>
        <v>G201</v>
      </c>
      <c r="C17" s="72">
        <f>'حجز النقاط المقياس الأول'!L15</f>
        <v>0</v>
      </c>
      <c r="D17" s="73">
        <f>'حجز النقاط المقياس الثاني'!L15</f>
        <v>0</v>
      </c>
      <c r="E17" s="74">
        <f t="shared" ref="E17:E48" si="0">(C17*$F$11+D17*$F$12)/($F$11+$F$12)</f>
        <v>0</v>
      </c>
      <c r="F17" s="75">
        <f t="shared" ref="F17:F48" si="1">RANK(E17,$E$17:$E$67,0)</f>
        <v>1</v>
      </c>
      <c r="G17" s="76" t="s">
        <v>47</v>
      </c>
      <c r="H17" s="77" t="s">
        <v>19</v>
      </c>
    </row>
    <row r="18" spans="1:16" ht="22.5" customHeight="1" x14ac:dyDescent="0.25">
      <c r="A18" s="78">
        <v>2</v>
      </c>
      <c r="B18" s="71" t="str">
        <f>'القائمة الإسمية للمترشحين'!F16</f>
        <v>G202</v>
      </c>
      <c r="C18" s="72">
        <f>'حجز النقاط المقياس الأول'!L16</f>
        <v>0</v>
      </c>
      <c r="D18" s="73">
        <f>'حجز النقاط المقياس الثاني'!L16</f>
        <v>0</v>
      </c>
      <c r="E18" s="74">
        <f t="shared" si="0"/>
        <v>0</v>
      </c>
      <c r="F18" s="75">
        <f t="shared" si="1"/>
        <v>1</v>
      </c>
      <c r="G18" s="76" t="s">
        <v>47</v>
      </c>
    </row>
    <row r="19" spans="1:16" ht="22.5" customHeight="1" x14ac:dyDescent="0.25">
      <c r="A19" s="78">
        <v>3</v>
      </c>
      <c r="B19" s="71" t="str">
        <f>'القائمة الإسمية للمترشحين'!F17</f>
        <v>G203</v>
      </c>
      <c r="C19" s="72">
        <f>'حجز النقاط المقياس الأول'!L17</f>
        <v>0</v>
      </c>
      <c r="D19" s="73">
        <f>'حجز النقاط المقياس الثاني'!L17</f>
        <v>0</v>
      </c>
      <c r="E19" s="74">
        <f t="shared" si="0"/>
        <v>0</v>
      </c>
      <c r="F19" s="75">
        <f t="shared" si="1"/>
        <v>1</v>
      </c>
      <c r="G19" s="76" t="s">
        <v>47</v>
      </c>
      <c r="P19" s="62" t="s">
        <v>47</v>
      </c>
    </row>
    <row r="20" spans="1:16" ht="22.5" customHeight="1" x14ac:dyDescent="0.25">
      <c r="A20" s="71">
        <v>4</v>
      </c>
      <c r="B20" s="71">
        <f>'القائمة الإسمية للمترشحين'!F18</f>
        <v>0</v>
      </c>
      <c r="C20" s="72">
        <f>'حجز النقاط المقياس الأول'!L18</f>
        <v>0</v>
      </c>
      <c r="D20" s="73">
        <f>'حجز النقاط المقياس الثاني'!L18</f>
        <v>0</v>
      </c>
      <c r="E20" s="74">
        <f t="shared" si="0"/>
        <v>0</v>
      </c>
      <c r="F20" s="75">
        <f t="shared" si="1"/>
        <v>1</v>
      </c>
      <c r="G20" s="76" t="s">
        <v>47</v>
      </c>
      <c r="P20" s="62" t="s">
        <v>44</v>
      </c>
    </row>
    <row r="21" spans="1:16" ht="22.5" customHeight="1" x14ac:dyDescent="0.25">
      <c r="A21" s="78">
        <v>5</v>
      </c>
      <c r="B21" s="71">
        <f>'القائمة الإسمية للمترشحين'!F19</f>
        <v>0</v>
      </c>
      <c r="C21" s="72">
        <f>'حجز النقاط المقياس الأول'!L19</f>
        <v>0</v>
      </c>
      <c r="D21" s="73">
        <f>'حجز النقاط المقياس الثاني'!L19</f>
        <v>0</v>
      </c>
      <c r="E21" s="74">
        <f t="shared" si="0"/>
        <v>0</v>
      </c>
      <c r="F21" s="75">
        <f t="shared" si="1"/>
        <v>1</v>
      </c>
      <c r="G21" s="76" t="s">
        <v>47</v>
      </c>
      <c r="P21" s="62" t="s">
        <v>46</v>
      </c>
    </row>
    <row r="22" spans="1:16" ht="22.5" customHeight="1" x14ac:dyDescent="0.25">
      <c r="A22" s="78">
        <v>6</v>
      </c>
      <c r="B22" s="71">
        <f>'القائمة الإسمية للمترشحين'!F20</f>
        <v>0</v>
      </c>
      <c r="C22" s="72">
        <f>'حجز النقاط المقياس الأول'!L20</f>
        <v>0</v>
      </c>
      <c r="D22" s="73">
        <f>'حجز النقاط المقياس الثاني'!L20</f>
        <v>0</v>
      </c>
      <c r="E22" s="74">
        <f t="shared" si="0"/>
        <v>0</v>
      </c>
      <c r="F22" s="75">
        <f t="shared" si="1"/>
        <v>1</v>
      </c>
      <c r="G22" s="76" t="s">
        <v>47</v>
      </c>
      <c r="P22" s="62" t="s">
        <v>22</v>
      </c>
    </row>
    <row r="23" spans="1:16" ht="22.5" customHeight="1" x14ac:dyDescent="0.25">
      <c r="A23" s="71">
        <v>7</v>
      </c>
      <c r="B23" s="71">
        <f>'القائمة الإسمية للمترشحين'!F21</f>
        <v>0</v>
      </c>
      <c r="C23" s="72">
        <f>'حجز النقاط المقياس الأول'!L21</f>
        <v>0</v>
      </c>
      <c r="D23" s="73">
        <f>'حجز النقاط المقياس الثاني'!L21</f>
        <v>0</v>
      </c>
      <c r="E23" s="74">
        <f t="shared" si="0"/>
        <v>0</v>
      </c>
      <c r="F23" s="75">
        <f t="shared" si="1"/>
        <v>1</v>
      </c>
      <c r="G23" s="76" t="s">
        <v>47</v>
      </c>
      <c r="H23" s="79"/>
      <c r="P23" s="62" t="s">
        <v>45</v>
      </c>
    </row>
    <row r="24" spans="1:16" ht="22.5" customHeight="1" x14ac:dyDescent="0.25">
      <c r="A24" s="78">
        <v>8</v>
      </c>
      <c r="B24" s="71">
        <f>'القائمة الإسمية للمترشحين'!F22</f>
        <v>0</v>
      </c>
      <c r="C24" s="72">
        <f>'حجز النقاط المقياس الأول'!L22</f>
        <v>0</v>
      </c>
      <c r="D24" s="73">
        <f>'حجز النقاط المقياس الثاني'!L22</f>
        <v>0</v>
      </c>
      <c r="E24" s="74">
        <f t="shared" si="0"/>
        <v>0</v>
      </c>
      <c r="F24" s="75">
        <f t="shared" si="1"/>
        <v>1</v>
      </c>
      <c r="G24" s="76" t="s">
        <v>47</v>
      </c>
    </row>
    <row r="25" spans="1:16" ht="22.5" customHeight="1" x14ac:dyDescent="0.25">
      <c r="A25" s="78">
        <v>9</v>
      </c>
      <c r="B25" s="71">
        <f>'القائمة الإسمية للمترشحين'!F23</f>
        <v>0</v>
      </c>
      <c r="C25" s="72">
        <f>'حجز النقاط المقياس الأول'!L23</f>
        <v>0</v>
      </c>
      <c r="D25" s="73">
        <f>'حجز النقاط المقياس الثاني'!L23</f>
        <v>0</v>
      </c>
      <c r="E25" s="74">
        <f t="shared" si="0"/>
        <v>0</v>
      </c>
      <c r="F25" s="75">
        <f t="shared" si="1"/>
        <v>1</v>
      </c>
      <c r="G25" s="76" t="s">
        <v>47</v>
      </c>
    </row>
    <row r="26" spans="1:16" ht="22.5" customHeight="1" x14ac:dyDescent="0.25">
      <c r="A26" s="71">
        <v>10</v>
      </c>
      <c r="B26" s="71">
        <f>'القائمة الإسمية للمترشحين'!F24</f>
        <v>0</v>
      </c>
      <c r="C26" s="72">
        <f>'حجز النقاط المقياس الأول'!L24</f>
        <v>0</v>
      </c>
      <c r="D26" s="73">
        <f>'حجز النقاط المقياس الثاني'!L24</f>
        <v>0</v>
      </c>
      <c r="E26" s="74">
        <f t="shared" si="0"/>
        <v>0</v>
      </c>
      <c r="F26" s="75">
        <f t="shared" si="1"/>
        <v>1</v>
      </c>
      <c r="G26" s="76" t="s">
        <v>47</v>
      </c>
    </row>
    <row r="27" spans="1:16" ht="22.5" customHeight="1" x14ac:dyDescent="0.25">
      <c r="A27" s="78">
        <v>11</v>
      </c>
      <c r="B27" s="71">
        <f>'القائمة الإسمية للمترشحين'!F25</f>
        <v>0</v>
      </c>
      <c r="C27" s="72">
        <f>'حجز النقاط المقياس الأول'!L25</f>
        <v>0</v>
      </c>
      <c r="D27" s="73">
        <f>'حجز النقاط المقياس الثاني'!L25</f>
        <v>0</v>
      </c>
      <c r="E27" s="74">
        <f t="shared" si="0"/>
        <v>0</v>
      </c>
      <c r="F27" s="75">
        <f t="shared" si="1"/>
        <v>1</v>
      </c>
      <c r="G27" s="76" t="s">
        <v>47</v>
      </c>
    </row>
    <row r="28" spans="1:16" ht="18.75" customHeight="1" x14ac:dyDescent="0.25">
      <c r="A28" s="78">
        <v>12</v>
      </c>
      <c r="B28" s="71">
        <f>'القائمة الإسمية للمترشحين'!F26</f>
        <v>0</v>
      </c>
      <c r="C28" s="72">
        <f>'حجز النقاط المقياس الأول'!L26</f>
        <v>0</v>
      </c>
      <c r="D28" s="73">
        <f>'حجز النقاط المقياس الثاني'!L26</f>
        <v>0</v>
      </c>
      <c r="E28" s="74">
        <f t="shared" si="0"/>
        <v>0</v>
      </c>
      <c r="F28" s="75">
        <f t="shared" si="1"/>
        <v>1</v>
      </c>
      <c r="G28" s="76" t="s">
        <v>47</v>
      </c>
    </row>
    <row r="29" spans="1:16" ht="18.75" customHeight="1" x14ac:dyDescent="0.25">
      <c r="A29" s="71">
        <v>13</v>
      </c>
      <c r="B29" s="71">
        <f>'القائمة الإسمية للمترشحين'!F27</f>
        <v>0</v>
      </c>
      <c r="C29" s="72">
        <f>'حجز النقاط المقياس الأول'!L27</f>
        <v>0</v>
      </c>
      <c r="D29" s="73">
        <f>'حجز النقاط المقياس الثاني'!L27</f>
        <v>0</v>
      </c>
      <c r="E29" s="74">
        <f t="shared" si="0"/>
        <v>0</v>
      </c>
      <c r="F29" s="75">
        <f t="shared" si="1"/>
        <v>1</v>
      </c>
      <c r="G29" s="76" t="s">
        <v>47</v>
      </c>
    </row>
    <row r="30" spans="1:16" ht="18.75" customHeight="1" x14ac:dyDescent="0.25">
      <c r="A30" s="78">
        <v>14</v>
      </c>
      <c r="B30" s="71">
        <f>'القائمة الإسمية للمترشحين'!F28</f>
        <v>0</v>
      </c>
      <c r="C30" s="72">
        <f>'حجز النقاط المقياس الأول'!L28</f>
        <v>0</v>
      </c>
      <c r="D30" s="73">
        <f>'حجز النقاط المقياس الثاني'!L28</f>
        <v>0</v>
      </c>
      <c r="E30" s="74">
        <f t="shared" si="0"/>
        <v>0</v>
      </c>
      <c r="F30" s="75">
        <f t="shared" si="1"/>
        <v>1</v>
      </c>
      <c r="G30" s="76" t="s">
        <v>47</v>
      </c>
    </row>
    <row r="31" spans="1:16" ht="18.75" customHeight="1" x14ac:dyDescent="0.25">
      <c r="A31" s="78">
        <v>15</v>
      </c>
      <c r="B31" s="71">
        <f>'القائمة الإسمية للمترشحين'!F29</f>
        <v>0</v>
      </c>
      <c r="C31" s="72">
        <f>'حجز النقاط المقياس الأول'!L29</f>
        <v>0</v>
      </c>
      <c r="D31" s="73">
        <f>'حجز النقاط المقياس الثاني'!L29</f>
        <v>0</v>
      </c>
      <c r="E31" s="74">
        <f t="shared" si="0"/>
        <v>0</v>
      </c>
      <c r="F31" s="75">
        <f t="shared" si="1"/>
        <v>1</v>
      </c>
      <c r="G31" s="76" t="s">
        <v>47</v>
      </c>
    </row>
    <row r="32" spans="1:16" ht="18.75" customHeight="1" x14ac:dyDescent="0.25">
      <c r="A32" s="71">
        <v>16</v>
      </c>
      <c r="B32" s="71">
        <f>'القائمة الإسمية للمترشحين'!F30</f>
        <v>0</v>
      </c>
      <c r="C32" s="72">
        <f>'حجز النقاط المقياس الأول'!L30</f>
        <v>0</v>
      </c>
      <c r="D32" s="73">
        <f>'حجز النقاط المقياس الثاني'!L30</f>
        <v>0</v>
      </c>
      <c r="E32" s="74">
        <f t="shared" si="0"/>
        <v>0</v>
      </c>
      <c r="F32" s="75">
        <f t="shared" si="1"/>
        <v>1</v>
      </c>
      <c r="G32" s="76" t="s">
        <v>47</v>
      </c>
    </row>
    <row r="33" spans="1:8" ht="18.75" customHeight="1" x14ac:dyDescent="0.25">
      <c r="A33" s="78">
        <v>17</v>
      </c>
      <c r="B33" s="71">
        <f>'القائمة الإسمية للمترشحين'!F31</f>
        <v>0</v>
      </c>
      <c r="C33" s="72">
        <f>'حجز النقاط المقياس الأول'!L31</f>
        <v>0</v>
      </c>
      <c r="D33" s="73">
        <f>'حجز النقاط المقياس الثاني'!L31</f>
        <v>0</v>
      </c>
      <c r="E33" s="74">
        <f t="shared" si="0"/>
        <v>0</v>
      </c>
      <c r="F33" s="75">
        <f t="shared" si="1"/>
        <v>1</v>
      </c>
      <c r="G33" s="76" t="s">
        <v>47</v>
      </c>
      <c r="H33" s="77"/>
    </row>
    <row r="34" spans="1:8" ht="18.75" customHeight="1" x14ac:dyDescent="0.25">
      <c r="A34" s="78">
        <v>18</v>
      </c>
      <c r="B34" s="71">
        <f>'القائمة الإسمية للمترشحين'!F32</f>
        <v>0</v>
      </c>
      <c r="C34" s="72">
        <f>'حجز النقاط المقياس الأول'!L32</f>
        <v>0</v>
      </c>
      <c r="D34" s="73">
        <f>'حجز النقاط المقياس الثاني'!L32</f>
        <v>0</v>
      </c>
      <c r="E34" s="74">
        <f t="shared" si="0"/>
        <v>0</v>
      </c>
      <c r="F34" s="75">
        <f t="shared" si="1"/>
        <v>1</v>
      </c>
      <c r="G34" s="76" t="s">
        <v>47</v>
      </c>
    </row>
    <row r="35" spans="1:8" ht="18.75" customHeight="1" x14ac:dyDescent="0.25">
      <c r="A35" s="71">
        <v>19</v>
      </c>
      <c r="B35" s="71">
        <f>'القائمة الإسمية للمترشحين'!F33</f>
        <v>0</v>
      </c>
      <c r="C35" s="72">
        <f>'حجز النقاط المقياس الأول'!L33</f>
        <v>0</v>
      </c>
      <c r="D35" s="73">
        <f>'حجز النقاط المقياس الثاني'!L33</f>
        <v>0</v>
      </c>
      <c r="E35" s="74">
        <f t="shared" si="0"/>
        <v>0</v>
      </c>
      <c r="F35" s="75">
        <f t="shared" si="1"/>
        <v>1</v>
      </c>
      <c r="G35" s="76" t="s">
        <v>47</v>
      </c>
    </row>
    <row r="36" spans="1:8" ht="18.75" customHeight="1" x14ac:dyDescent="0.25">
      <c r="A36" s="78">
        <v>20</v>
      </c>
      <c r="B36" s="71">
        <f>'القائمة الإسمية للمترشحين'!F34</f>
        <v>0</v>
      </c>
      <c r="C36" s="72">
        <f>'حجز النقاط المقياس الأول'!L34</f>
        <v>0</v>
      </c>
      <c r="D36" s="73">
        <f>'حجز النقاط المقياس الثاني'!L34</f>
        <v>0</v>
      </c>
      <c r="E36" s="74">
        <f t="shared" si="0"/>
        <v>0</v>
      </c>
      <c r="F36" s="75">
        <f t="shared" si="1"/>
        <v>1</v>
      </c>
      <c r="G36" s="76" t="s">
        <v>47</v>
      </c>
    </row>
    <row r="37" spans="1:8" ht="18.75" customHeight="1" x14ac:dyDescent="0.25">
      <c r="A37" s="78">
        <v>21</v>
      </c>
      <c r="B37" s="71">
        <f>'القائمة الإسمية للمترشحين'!F35</f>
        <v>0</v>
      </c>
      <c r="C37" s="72">
        <f>'حجز النقاط المقياس الأول'!L35</f>
        <v>0</v>
      </c>
      <c r="D37" s="73">
        <f>'حجز النقاط المقياس الثاني'!L35</f>
        <v>0</v>
      </c>
      <c r="E37" s="74">
        <f t="shared" si="0"/>
        <v>0</v>
      </c>
      <c r="F37" s="75">
        <f t="shared" si="1"/>
        <v>1</v>
      </c>
      <c r="G37" s="76" t="s">
        <v>47</v>
      </c>
    </row>
    <row r="38" spans="1:8" ht="18.75" customHeight="1" x14ac:dyDescent="0.25">
      <c r="A38" s="71">
        <v>22</v>
      </c>
      <c r="B38" s="71">
        <f>'القائمة الإسمية للمترشحين'!F36</f>
        <v>0</v>
      </c>
      <c r="C38" s="72">
        <f>'حجز النقاط المقياس الأول'!L36</f>
        <v>0</v>
      </c>
      <c r="D38" s="73">
        <f>'حجز النقاط المقياس الثاني'!L36</f>
        <v>0</v>
      </c>
      <c r="E38" s="74">
        <f t="shared" si="0"/>
        <v>0</v>
      </c>
      <c r="F38" s="75">
        <f t="shared" si="1"/>
        <v>1</v>
      </c>
      <c r="G38" s="76" t="s">
        <v>47</v>
      </c>
    </row>
    <row r="39" spans="1:8" ht="18.75" customHeight="1" x14ac:dyDescent="0.25">
      <c r="A39" s="78">
        <v>23</v>
      </c>
      <c r="B39" s="71">
        <f>'القائمة الإسمية للمترشحين'!F37</f>
        <v>0</v>
      </c>
      <c r="C39" s="72">
        <f>'حجز النقاط المقياس الأول'!L37</f>
        <v>0</v>
      </c>
      <c r="D39" s="73">
        <f>'حجز النقاط المقياس الثاني'!L37</f>
        <v>0</v>
      </c>
      <c r="E39" s="74">
        <f t="shared" si="0"/>
        <v>0</v>
      </c>
      <c r="F39" s="75">
        <f t="shared" si="1"/>
        <v>1</v>
      </c>
      <c r="G39" s="76" t="s">
        <v>47</v>
      </c>
    </row>
    <row r="40" spans="1:8" ht="18.75" customHeight="1" x14ac:dyDescent="0.25">
      <c r="A40" s="78">
        <v>24</v>
      </c>
      <c r="B40" s="71">
        <f>'القائمة الإسمية للمترشحين'!F38</f>
        <v>0</v>
      </c>
      <c r="C40" s="72">
        <f>'حجز النقاط المقياس الأول'!L38</f>
        <v>0</v>
      </c>
      <c r="D40" s="73">
        <f>'حجز النقاط المقياس الثاني'!L38</f>
        <v>0</v>
      </c>
      <c r="E40" s="74">
        <f t="shared" si="0"/>
        <v>0</v>
      </c>
      <c r="F40" s="75">
        <f t="shared" si="1"/>
        <v>1</v>
      </c>
      <c r="G40" s="76" t="s">
        <v>47</v>
      </c>
    </row>
    <row r="41" spans="1:8" ht="18.75" customHeight="1" x14ac:dyDescent="0.25">
      <c r="A41" s="71">
        <v>25</v>
      </c>
      <c r="B41" s="71">
        <f>'القائمة الإسمية للمترشحين'!F39</f>
        <v>0</v>
      </c>
      <c r="C41" s="72">
        <f>'حجز النقاط المقياس الأول'!L39</f>
        <v>0</v>
      </c>
      <c r="D41" s="73">
        <f>'حجز النقاط المقياس الثاني'!L39</f>
        <v>0</v>
      </c>
      <c r="E41" s="74">
        <f t="shared" si="0"/>
        <v>0</v>
      </c>
      <c r="F41" s="75">
        <f t="shared" si="1"/>
        <v>1</v>
      </c>
      <c r="G41" s="76" t="s">
        <v>47</v>
      </c>
    </row>
    <row r="42" spans="1:8" ht="18.75" customHeight="1" x14ac:dyDescent="0.25">
      <c r="A42" s="78">
        <v>26</v>
      </c>
      <c r="B42" s="71">
        <f>'القائمة الإسمية للمترشحين'!F40</f>
        <v>0</v>
      </c>
      <c r="C42" s="72">
        <f>'حجز النقاط المقياس الأول'!L40</f>
        <v>0</v>
      </c>
      <c r="D42" s="73">
        <f>'حجز النقاط المقياس الثاني'!L40</f>
        <v>0</v>
      </c>
      <c r="E42" s="74">
        <f t="shared" si="0"/>
        <v>0</v>
      </c>
      <c r="F42" s="75">
        <f t="shared" si="1"/>
        <v>1</v>
      </c>
      <c r="G42" s="76" t="s">
        <v>47</v>
      </c>
    </row>
    <row r="43" spans="1:8" ht="18.75" customHeight="1" x14ac:dyDescent="0.25">
      <c r="A43" s="78">
        <v>27</v>
      </c>
      <c r="B43" s="71">
        <f>'القائمة الإسمية للمترشحين'!F41</f>
        <v>0</v>
      </c>
      <c r="C43" s="72">
        <f>'حجز النقاط المقياس الأول'!L41</f>
        <v>0</v>
      </c>
      <c r="D43" s="73">
        <f>'حجز النقاط المقياس الثاني'!L41</f>
        <v>0</v>
      </c>
      <c r="E43" s="74">
        <f t="shared" si="0"/>
        <v>0</v>
      </c>
      <c r="F43" s="75">
        <f t="shared" si="1"/>
        <v>1</v>
      </c>
      <c r="G43" s="76" t="s">
        <v>47</v>
      </c>
    </row>
    <row r="44" spans="1:8" ht="18.75" customHeight="1" x14ac:dyDescent="0.25">
      <c r="A44" s="71">
        <v>28</v>
      </c>
      <c r="B44" s="71">
        <f>'القائمة الإسمية للمترشحين'!F42</f>
        <v>0</v>
      </c>
      <c r="C44" s="72">
        <f>'حجز النقاط المقياس الأول'!L42</f>
        <v>0</v>
      </c>
      <c r="D44" s="73">
        <f>'حجز النقاط المقياس الثاني'!L42</f>
        <v>0</v>
      </c>
      <c r="E44" s="74">
        <f t="shared" si="0"/>
        <v>0</v>
      </c>
      <c r="F44" s="75">
        <f t="shared" si="1"/>
        <v>1</v>
      </c>
      <c r="G44" s="76" t="s">
        <v>47</v>
      </c>
    </row>
    <row r="45" spans="1:8" ht="18.75" customHeight="1" x14ac:dyDescent="0.25">
      <c r="A45" s="78">
        <v>29</v>
      </c>
      <c r="B45" s="71">
        <f>'القائمة الإسمية للمترشحين'!F43</f>
        <v>0</v>
      </c>
      <c r="C45" s="72">
        <f>'حجز النقاط المقياس الأول'!L43</f>
        <v>0</v>
      </c>
      <c r="D45" s="73">
        <f>'حجز النقاط المقياس الثاني'!L43</f>
        <v>0</v>
      </c>
      <c r="E45" s="74">
        <f t="shared" si="0"/>
        <v>0</v>
      </c>
      <c r="F45" s="75">
        <f t="shared" si="1"/>
        <v>1</v>
      </c>
      <c r="G45" s="76" t="s">
        <v>47</v>
      </c>
    </row>
    <row r="46" spans="1:8" ht="18.75" customHeight="1" x14ac:dyDescent="0.25">
      <c r="A46" s="78">
        <v>30</v>
      </c>
      <c r="B46" s="71">
        <f>'القائمة الإسمية للمترشحين'!F44</f>
        <v>0</v>
      </c>
      <c r="C46" s="72">
        <f>'حجز النقاط المقياس الأول'!L44</f>
        <v>0</v>
      </c>
      <c r="D46" s="73">
        <f>'حجز النقاط المقياس الثاني'!L44</f>
        <v>0</v>
      </c>
      <c r="E46" s="74">
        <f t="shared" si="0"/>
        <v>0</v>
      </c>
      <c r="F46" s="75">
        <f t="shared" si="1"/>
        <v>1</v>
      </c>
      <c r="G46" s="76" t="s">
        <v>47</v>
      </c>
    </row>
    <row r="47" spans="1:8" ht="18.75" customHeight="1" x14ac:dyDescent="0.25">
      <c r="A47" s="71">
        <v>31</v>
      </c>
      <c r="B47" s="71">
        <f>'القائمة الإسمية للمترشحين'!F45</f>
        <v>0</v>
      </c>
      <c r="C47" s="72">
        <f>'حجز النقاط المقياس الأول'!L45</f>
        <v>0</v>
      </c>
      <c r="D47" s="73">
        <f>'حجز النقاط المقياس الثاني'!L45</f>
        <v>0</v>
      </c>
      <c r="E47" s="74">
        <f t="shared" si="0"/>
        <v>0</v>
      </c>
      <c r="F47" s="75">
        <f t="shared" si="1"/>
        <v>1</v>
      </c>
      <c r="G47" s="76" t="s">
        <v>47</v>
      </c>
    </row>
    <row r="48" spans="1:8" ht="18.75" customHeight="1" x14ac:dyDescent="0.25">
      <c r="A48" s="78">
        <v>32</v>
      </c>
      <c r="B48" s="71">
        <f>'القائمة الإسمية للمترشحين'!F46</f>
        <v>0</v>
      </c>
      <c r="C48" s="72">
        <f>'حجز النقاط المقياس الأول'!L46</f>
        <v>0</v>
      </c>
      <c r="D48" s="73">
        <f>'حجز النقاط المقياس الثاني'!L46</f>
        <v>0</v>
      </c>
      <c r="E48" s="74">
        <f t="shared" si="0"/>
        <v>0</v>
      </c>
      <c r="F48" s="75">
        <f t="shared" si="1"/>
        <v>1</v>
      </c>
      <c r="G48" s="76" t="s">
        <v>47</v>
      </c>
    </row>
    <row r="49" spans="1:8" s="61" customFormat="1" ht="18.75" customHeight="1" x14ac:dyDescent="0.25">
      <c r="A49" s="78">
        <v>33</v>
      </c>
      <c r="B49" s="71">
        <f>'القائمة الإسمية للمترشحين'!F47</f>
        <v>0</v>
      </c>
      <c r="C49" s="72">
        <f>'حجز النقاط المقياس الأول'!L47</f>
        <v>0</v>
      </c>
      <c r="D49" s="73">
        <f>'حجز النقاط المقياس الثاني'!L47</f>
        <v>0</v>
      </c>
      <c r="E49" s="74">
        <f t="shared" ref="E49:E67" si="2">(C49*$F$11+D49*$F$12)/($F$11+$F$12)</f>
        <v>0</v>
      </c>
      <c r="F49" s="75">
        <f t="shared" ref="F49:F67" si="3">RANK(E49,$E$17:$E$67,0)</f>
        <v>1</v>
      </c>
      <c r="G49" s="76" t="s">
        <v>47</v>
      </c>
      <c r="H49" s="62"/>
    </row>
    <row r="50" spans="1:8" ht="18.75" customHeight="1" x14ac:dyDescent="0.25">
      <c r="A50" s="71">
        <v>34</v>
      </c>
      <c r="B50" s="71">
        <f>'القائمة الإسمية للمترشحين'!F48</f>
        <v>0</v>
      </c>
      <c r="C50" s="72">
        <f>'حجز النقاط المقياس الأول'!L48</f>
        <v>0</v>
      </c>
      <c r="D50" s="73">
        <f>'حجز النقاط المقياس الثاني'!L48</f>
        <v>0</v>
      </c>
      <c r="E50" s="74">
        <f t="shared" si="2"/>
        <v>0</v>
      </c>
      <c r="F50" s="75">
        <f t="shared" si="3"/>
        <v>1</v>
      </c>
      <c r="G50" s="76" t="s">
        <v>47</v>
      </c>
    </row>
    <row r="51" spans="1:8" ht="18.75" customHeight="1" x14ac:dyDescent="0.25">
      <c r="A51" s="78">
        <v>35</v>
      </c>
      <c r="B51" s="71">
        <f>'القائمة الإسمية للمترشحين'!F49</f>
        <v>0</v>
      </c>
      <c r="C51" s="72">
        <f>'حجز النقاط المقياس الأول'!L49</f>
        <v>0</v>
      </c>
      <c r="D51" s="73">
        <f>'حجز النقاط المقياس الثاني'!L49</f>
        <v>0</v>
      </c>
      <c r="E51" s="74">
        <f t="shared" si="2"/>
        <v>0</v>
      </c>
      <c r="F51" s="75">
        <f t="shared" si="3"/>
        <v>1</v>
      </c>
      <c r="G51" s="76" t="s">
        <v>47</v>
      </c>
    </row>
    <row r="52" spans="1:8" ht="18.75" customHeight="1" x14ac:dyDescent="0.25">
      <c r="A52" s="78">
        <v>36</v>
      </c>
      <c r="B52" s="71">
        <f>'القائمة الإسمية للمترشحين'!F50</f>
        <v>0</v>
      </c>
      <c r="C52" s="72">
        <f>'حجز النقاط المقياس الأول'!L50</f>
        <v>0</v>
      </c>
      <c r="D52" s="73">
        <f>'حجز النقاط المقياس الثاني'!L50</f>
        <v>0</v>
      </c>
      <c r="E52" s="74">
        <f t="shared" si="2"/>
        <v>0</v>
      </c>
      <c r="F52" s="75">
        <f t="shared" si="3"/>
        <v>1</v>
      </c>
      <c r="G52" s="76" t="s">
        <v>47</v>
      </c>
    </row>
    <row r="53" spans="1:8" x14ac:dyDescent="0.25">
      <c r="A53" s="71">
        <v>37</v>
      </c>
      <c r="B53" s="71">
        <f>'القائمة الإسمية للمترشحين'!F51</f>
        <v>0</v>
      </c>
      <c r="C53" s="72">
        <f>'حجز النقاط المقياس الأول'!L51</f>
        <v>0</v>
      </c>
      <c r="D53" s="73">
        <f>'حجز النقاط المقياس الثاني'!L51</f>
        <v>0</v>
      </c>
      <c r="E53" s="74">
        <f t="shared" si="2"/>
        <v>0</v>
      </c>
      <c r="F53" s="75">
        <f t="shared" si="3"/>
        <v>1</v>
      </c>
      <c r="G53" s="76" t="s">
        <v>47</v>
      </c>
    </row>
    <row r="54" spans="1:8" x14ac:dyDescent="0.25">
      <c r="A54" s="78">
        <v>38</v>
      </c>
      <c r="B54" s="71">
        <f>'القائمة الإسمية للمترشحين'!F52</f>
        <v>0</v>
      </c>
      <c r="C54" s="72">
        <f>'حجز النقاط المقياس الأول'!L52</f>
        <v>0</v>
      </c>
      <c r="D54" s="73">
        <f>'حجز النقاط المقياس الثاني'!L52</f>
        <v>0</v>
      </c>
      <c r="E54" s="74">
        <f t="shared" si="2"/>
        <v>0</v>
      </c>
      <c r="F54" s="75">
        <f t="shared" si="3"/>
        <v>1</v>
      </c>
      <c r="G54" s="76" t="s">
        <v>47</v>
      </c>
      <c r="H54" s="79"/>
    </row>
    <row r="55" spans="1:8" x14ac:dyDescent="0.25">
      <c r="A55" s="78">
        <v>39</v>
      </c>
      <c r="B55" s="71">
        <f>'القائمة الإسمية للمترشحين'!F53</f>
        <v>0</v>
      </c>
      <c r="C55" s="72">
        <f>'حجز النقاط المقياس الأول'!L53</f>
        <v>0</v>
      </c>
      <c r="D55" s="73">
        <f>'حجز النقاط المقياس الثاني'!L53</f>
        <v>0</v>
      </c>
      <c r="E55" s="74">
        <f t="shared" si="2"/>
        <v>0</v>
      </c>
      <c r="F55" s="75">
        <f t="shared" si="3"/>
        <v>1</v>
      </c>
      <c r="G55" s="76" t="s">
        <v>47</v>
      </c>
    </row>
    <row r="56" spans="1:8" x14ac:dyDescent="0.25">
      <c r="A56" s="71">
        <v>40</v>
      </c>
      <c r="B56" s="71">
        <f>'القائمة الإسمية للمترشحين'!F54</f>
        <v>0</v>
      </c>
      <c r="C56" s="72">
        <f>'حجز النقاط المقياس الأول'!L54</f>
        <v>0</v>
      </c>
      <c r="D56" s="73">
        <f>'حجز النقاط المقياس الثاني'!L54</f>
        <v>0</v>
      </c>
      <c r="E56" s="74">
        <f t="shared" si="2"/>
        <v>0</v>
      </c>
      <c r="F56" s="75">
        <f t="shared" si="3"/>
        <v>1</v>
      </c>
      <c r="G56" s="76" t="s">
        <v>47</v>
      </c>
    </row>
    <row r="57" spans="1:8" x14ac:dyDescent="0.25">
      <c r="A57" s="78">
        <v>41</v>
      </c>
      <c r="B57" s="71">
        <f>'القائمة الإسمية للمترشحين'!F55</f>
        <v>0</v>
      </c>
      <c r="C57" s="72">
        <f>'حجز النقاط المقياس الأول'!L55</f>
        <v>0</v>
      </c>
      <c r="D57" s="73">
        <f>'حجز النقاط المقياس الثاني'!L55</f>
        <v>0</v>
      </c>
      <c r="E57" s="74">
        <f t="shared" si="2"/>
        <v>0</v>
      </c>
      <c r="F57" s="75">
        <f t="shared" si="3"/>
        <v>1</v>
      </c>
      <c r="G57" s="76" t="s">
        <v>47</v>
      </c>
    </row>
    <row r="58" spans="1:8" x14ac:dyDescent="0.25">
      <c r="A58" s="78">
        <v>42</v>
      </c>
      <c r="B58" s="71">
        <f>'القائمة الإسمية للمترشحين'!F56</f>
        <v>0</v>
      </c>
      <c r="C58" s="72">
        <f>'حجز النقاط المقياس الأول'!L56</f>
        <v>0</v>
      </c>
      <c r="D58" s="73">
        <f>'حجز النقاط المقياس الثاني'!L56</f>
        <v>0</v>
      </c>
      <c r="E58" s="74">
        <f t="shared" si="2"/>
        <v>0</v>
      </c>
      <c r="F58" s="75">
        <f t="shared" si="3"/>
        <v>1</v>
      </c>
      <c r="G58" s="76" t="s">
        <v>47</v>
      </c>
    </row>
    <row r="59" spans="1:8" x14ac:dyDescent="0.25">
      <c r="A59" s="71">
        <v>43</v>
      </c>
      <c r="B59" s="71">
        <f>'القائمة الإسمية للمترشحين'!F57</f>
        <v>0</v>
      </c>
      <c r="C59" s="72">
        <f>'حجز النقاط المقياس الأول'!L57</f>
        <v>0</v>
      </c>
      <c r="D59" s="73">
        <f>'حجز النقاط المقياس الثاني'!L57</f>
        <v>0</v>
      </c>
      <c r="E59" s="74">
        <f t="shared" si="2"/>
        <v>0</v>
      </c>
      <c r="F59" s="75">
        <f t="shared" si="3"/>
        <v>1</v>
      </c>
      <c r="G59" s="76" t="s">
        <v>47</v>
      </c>
    </row>
    <row r="60" spans="1:8" x14ac:dyDescent="0.25">
      <c r="A60" s="78">
        <v>44</v>
      </c>
      <c r="B60" s="71">
        <f>'القائمة الإسمية للمترشحين'!F58</f>
        <v>0</v>
      </c>
      <c r="C60" s="72">
        <f>'حجز النقاط المقياس الأول'!L58</f>
        <v>0</v>
      </c>
      <c r="D60" s="73">
        <f>'حجز النقاط المقياس الثاني'!L58</f>
        <v>0</v>
      </c>
      <c r="E60" s="74">
        <f t="shared" si="2"/>
        <v>0</v>
      </c>
      <c r="F60" s="75">
        <f t="shared" si="3"/>
        <v>1</v>
      </c>
      <c r="G60" s="76" t="s">
        <v>47</v>
      </c>
    </row>
    <row r="61" spans="1:8" x14ac:dyDescent="0.25">
      <c r="A61" s="78">
        <v>45</v>
      </c>
      <c r="B61" s="71">
        <f>'القائمة الإسمية للمترشحين'!F59</f>
        <v>0</v>
      </c>
      <c r="C61" s="72">
        <f>'حجز النقاط المقياس الأول'!L59</f>
        <v>0</v>
      </c>
      <c r="D61" s="73">
        <f>'حجز النقاط المقياس الثاني'!L59</f>
        <v>0</v>
      </c>
      <c r="E61" s="74">
        <f t="shared" si="2"/>
        <v>0</v>
      </c>
      <c r="F61" s="75">
        <f t="shared" si="3"/>
        <v>1</v>
      </c>
      <c r="G61" s="76" t="s">
        <v>47</v>
      </c>
      <c r="H61" s="79"/>
    </row>
    <row r="62" spans="1:8" x14ac:dyDescent="0.25">
      <c r="A62" s="71">
        <v>46</v>
      </c>
      <c r="B62" s="71">
        <f>'القائمة الإسمية للمترشحين'!F60</f>
        <v>0</v>
      </c>
      <c r="C62" s="72">
        <f>'حجز النقاط المقياس الأول'!L60</f>
        <v>0</v>
      </c>
      <c r="D62" s="73">
        <f>'حجز النقاط المقياس الثاني'!L60</f>
        <v>0</v>
      </c>
      <c r="E62" s="74">
        <f t="shared" si="2"/>
        <v>0</v>
      </c>
      <c r="F62" s="75">
        <f t="shared" si="3"/>
        <v>1</v>
      </c>
      <c r="G62" s="76" t="s">
        <v>47</v>
      </c>
    </row>
    <row r="63" spans="1:8" x14ac:dyDescent="0.25">
      <c r="A63" s="78">
        <v>47</v>
      </c>
      <c r="B63" s="71">
        <f>'القائمة الإسمية للمترشحين'!F61</f>
        <v>0</v>
      </c>
      <c r="C63" s="72">
        <f>'حجز النقاط المقياس الأول'!L61</f>
        <v>0</v>
      </c>
      <c r="D63" s="73">
        <f>'حجز النقاط المقياس الثاني'!L61</f>
        <v>0</v>
      </c>
      <c r="E63" s="74">
        <f t="shared" si="2"/>
        <v>0</v>
      </c>
      <c r="F63" s="75">
        <f t="shared" si="3"/>
        <v>1</v>
      </c>
      <c r="G63" s="76" t="s">
        <v>47</v>
      </c>
    </row>
    <row r="64" spans="1:8" x14ac:dyDescent="0.25">
      <c r="A64" s="78">
        <v>48</v>
      </c>
      <c r="B64" s="71">
        <f>'القائمة الإسمية للمترشحين'!F62</f>
        <v>0</v>
      </c>
      <c r="C64" s="72">
        <f>'حجز النقاط المقياس الأول'!L62</f>
        <v>0</v>
      </c>
      <c r="D64" s="73">
        <f>'حجز النقاط المقياس الثاني'!L62</f>
        <v>0</v>
      </c>
      <c r="E64" s="74">
        <f t="shared" si="2"/>
        <v>0</v>
      </c>
      <c r="F64" s="75">
        <f t="shared" si="3"/>
        <v>1</v>
      </c>
      <c r="G64" s="76" t="s">
        <v>47</v>
      </c>
    </row>
    <row r="65" spans="1:8" x14ac:dyDescent="0.25">
      <c r="A65" s="71">
        <v>49</v>
      </c>
      <c r="B65" s="71">
        <f>'القائمة الإسمية للمترشحين'!F63</f>
        <v>0</v>
      </c>
      <c r="C65" s="72">
        <f>'حجز النقاط المقياس الأول'!L63</f>
        <v>0</v>
      </c>
      <c r="D65" s="73">
        <f>'حجز النقاط المقياس الثاني'!L63</f>
        <v>0</v>
      </c>
      <c r="E65" s="74">
        <f t="shared" si="2"/>
        <v>0</v>
      </c>
      <c r="F65" s="75">
        <f t="shared" si="3"/>
        <v>1</v>
      </c>
      <c r="G65" s="76" t="s">
        <v>47</v>
      </c>
      <c r="H65" s="80" t="s">
        <v>19</v>
      </c>
    </row>
    <row r="66" spans="1:8" x14ac:dyDescent="0.25">
      <c r="A66" s="78">
        <v>50</v>
      </c>
      <c r="B66" s="71">
        <f>'القائمة الإسمية للمترشحين'!F64</f>
        <v>0</v>
      </c>
      <c r="C66" s="72">
        <f>'حجز النقاط المقياس الأول'!L64</f>
        <v>0</v>
      </c>
      <c r="D66" s="73">
        <f>'حجز النقاط المقياس الثاني'!L64</f>
        <v>0</v>
      </c>
      <c r="E66" s="74">
        <f t="shared" si="2"/>
        <v>0</v>
      </c>
      <c r="F66" s="75">
        <f t="shared" si="3"/>
        <v>1</v>
      </c>
      <c r="G66" s="76" t="s">
        <v>47</v>
      </c>
    </row>
    <row r="67" spans="1:8" x14ac:dyDescent="0.25">
      <c r="A67" s="78">
        <v>51</v>
      </c>
      <c r="B67" s="71">
        <f>'القائمة الإسمية للمترشحين'!F65</f>
        <v>0</v>
      </c>
      <c r="C67" s="72">
        <f>'حجز النقاط المقياس الأول'!L65</f>
        <v>0</v>
      </c>
      <c r="D67" s="73">
        <f>'حجز النقاط المقياس الثاني'!L65</f>
        <v>0</v>
      </c>
      <c r="E67" s="74">
        <f t="shared" si="2"/>
        <v>0</v>
      </c>
      <c r="F67" s="75">
        <f t="shared" si="3"/>
        <v>1</v>
      </c>
      <c r="G67" s="76" t="s">
        <v>47</v>
      </c>
    </row>
    <row r="68" spans="1:8" s="81" customFormat="1" x14ac:dyDescent="0.25">
      <c r="A68" s="82"/>
      <c r="B68" s="82"/>
      <c r="C68" s="83"/>
      <c r="D68" s="83"/>
      <c r="E68" s="83"/>
      <c r="F68" s="83"/>
      <c r="G68" s="82"/>
    </row>
    <row r="69" spans="1:8" s="77" customFormat="1" x14ac:dyDescent="0.25">
      <c r="A69" s="184" t="s">
        <v>33</v>
      </c>
      <c r="B69" s="184"/>
      <c r="D69" s="77" t="s">
        <v>24</v>
      </c>
      <c r="E69" s="77" t="s">
        <v>25</v>
      </c>
      <c r="H69" s="77" t="s">
        <v>26</v>
      </c>
    </row>
  </sheetData>
  <sortState xmlns:xlrd2="http://schemas.microsoft.com/office/spreadsheetml/2017/richdata2" ref="A17:G116">
    <sortCondition descending="1" ref="E17:E116"/>
  </sortState>
  <mergeCells count="12">
    <mergeCell ref="A69:B69"/>
    <mergeCell ref="A7:G7"/>
    <mergeCell ref="A8:G8"/>
    <mergeCell ref="A10:G10"/>
    <mergeCell ref="A5:C5"/>
    <mergeCell ref="E14:G14"/>
    <mergeCell ref="A14:A15"/>
    <mergeCell ref="A1:G1"/>
    <mergeCell ref="A2:G2"/>
    <mergeCell ref="A3:G3"/>
    <mergeCell ref="A4:G4"/>
    <mergeCell ref="A6:G6"/>
  </mergeCells>
  <dataValidations count="1">
    <dataValidation type="list" allowBlank="1" showInputMessage="1" showErrorMessage="1" sqref="G17:G67" xr:uid="{00000000-0002-0000-0300-000000000000}">
      <formula1>$P$19:$P$23</formula1>
    </dataValidation>
  </dataValidations>
  <printOptions horizontalCentered="1"/>
  <pageMargins left="0.19685039370078741" right="0.19685039370078741" top="0.39370078740157483" bottom="0.51181102362204722" header="0.19685039370078741" footer="0.31496062992125984"/>
  <pageSetup paperSize="9" scale="65" orientation="landscape" r:id="rId1"/>
  <headerFooter>
    <oddFooter>&amp;C&amp;P&amp;Rمحضر مداولات مسابقة الدكتوراه</oddFooter>
  </headerFooter>
  <rowBreaks count="1" manualBreakCount="1">
    <brk id="39" max="7"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28"/>
  <sheetViews>
    <sheetView rightToLeft="1" topLeftCell="A8" zoomScaleSheetLayoutView="130" workbookViewId="0">
      <selection activeCell="K13" sqref="K13"/>
    </sheetView>
  </sheetViews>
  <sheetFormatPr defaultColWidth="11.42578125" defaultRowHeight="15" x14ac:dyDescent="0.25"/>
  <cols>
    <col min="1" max="1" width="5.42578125" customWidth="1"/>
    <col min="2" max="2" width="12.140625" customWidth="1"/>
    <col min="3" max="3" width="15.85546875" customWidth="1"/>
    <col min="4" max="4" width="17.85546875" customWidth="1"/>
    <col min="5" max="5" width="14.5703125" customWidth="1"/>
    <col min="6" max="6" width="15.140625" customWidth="1"/>
    <col min="7" max="8" width="10.5703125" customWidth="1"/>
    <col min="9" max="9" width="17.140625" customWidth="1"/>
    <col min="10" max="10" width="9.28515625" style="118" customWidth="1"/>
    <col min="12" max="12" width="3.140625" customWidth="1"/>
    <col min="13" max="13" width="8.85546875" customWidth="1"/>
    <col min="14" max="14" width="9.85546875" customWidth="1"/>
    <col min="15" max="15" width="6.28515625" customWidth="1"/>
  </cols>
  <sheetData>
    <row r="1" spans="1:20" ht="27.75" x14ac:dyDescent="0.25">
      <c r="A1" s="167" t="s">
        <v>10</v>
      </c>
      <c r="B1" s="167"/>
      <c r="C1" s="167"/>
      <c r="D1" s="167"/>
      <c r="E1" s="167"/>
      <c r="F1" s="167"/>
      <c r="G1" s="167"/>
      <c r="H1" s="167"/>
      <c r="I1" s="167"/>
      <c r="J1" s="167"/>
      <c r="K1" s="167"/>
      <c r="L1" s="167"/>
    </row>
    <row r="2" spans="1:20" ht="27.75" x14ac:dyDescent="0.25">
      <c r="A2" s="167" t="s">
        <v>11</v>
      </c>
      <c r="B2" s="167"/>
      <c r="C2" s="167"/>
      <c r="D2" s="167"/>
      <c r="E2" s="167"/>
      <c r="F2" s="167"/>
      <c r="G2" s="167"/>
      <c r="H2" s="167"/>
      <c r="I2" s="167"/>
      <c r="J2" s="167"/>
      <c r="K2" s="167"/>
      <c r="L2" s="167"/>
    </row>
    <row r="3" spans="1:20" ht="23.25" x14ac:dyDescent="0.25">
      <c r="A3" s="165" t="s">
        <v>12</v>
      </c>
      <c r="B3" s="165"/>
      <c r="C3" s="165"/>
      <c r="D3" s="165"/>
      <c r="E3" s="165"/>
      <c r="F3" s="165"/>
      <c r="G3" s="165"/>
      <c r="H3" s="165"/>
      <c r="I3" s="165"/>
      <c r="J3" s="165"/>
      <c r="K3" s="165"/>
    </row>
    <row r="4" spans="1:20" ht="23.25" x14ac:dyDescent="0.25">
      <c r="A4" s="165" t="s">
        <v>56</v>
      </c>
      <c r="B4" s="165"/>
      <c r="C4" s="165"/>
      <c r="D4" s="165"/>
      <c r="E4" s="165"/>
      <c r="F4" s="165"/>
      <c r="G4" s="165"/>
      <c r="H4" s="165"/>
      <c r="I4" s="165"/>
      <c r="J4" s="165"/>
      <c r="K4" s="165"/>
    </row>
    <row r="5" spans="1:20" ht="23.25" x14ac:dyDescent="0.25">
      <c r="A5" s="165"/>
      <c r="B5" s="165"/>
      <c r="C5" s="165"/>
      <c r="D5" s="165"/>
      <c r="E5" s="165"/>
      <c r="F5" s="165"/>
      <c r="G5" s="165"/>
      <c r="H5" s="165"/>
      <c r="I5" s="165"/>
      <c r="J5" s="165"/>
      <c r="K5" s="165"/>
    </row>
    <row r="6" spans="1:20" ht="36.75" x14ac:dyDescent="0.25">
      <c r="A6" s="169" t="s">
        <v>13</v>
      </c>
      <c r="B6" s="169"/>
      <c r="C6" s="169"/>
      <c r="D6" s="169"/>
      <c r="E6" s="169"/>
      <c r="F6" s="169"/>
      <c r="G6" s="169"/>
      <c r="H6" s="169"/>
      <c r="I6" s="169"/>
      <c r="J6" s="169"/>
      <c r="K6" s="169"/>
    </row>
    <row r="7" spans="1:20" ht="18" x14ac:dyDescent="0.25">
      <c r="A7" s="168" t="s">
        <v>57</v>
      </c>
      <c r="B7" s="168"/>
      <c r="C7" s="168"/>
      <c r="D7" s="168"/>
      <c r="E7" s="168"/>
      <c r="F7" s="168"/>
      <c r="G7" s="168"/>
      <c r="H7" s="168"/>
      <c r="I7" s="168"/>
      <c r="J7" s="168"/>
      <c r="K7" s="168"/>
    </row>
    <row r="8" spans="1:20" ht="27.75" x14ac:dyDescent="0.25">
      <c r="A8" s="195" t="s">
        <v>58</v>
      </c>
      <c r="B8" s="195"/>
      <c r="C8" s="195"/>
      <c r="D8" s="196"/>
      <c r="E8" s="196"/>
      <c r="F8" s="196"/>
      <c r="G8" s="196"/>
      <c r="H8" s="196"/>
      <c r="I8" s="196"/>
      <c r="J8" s="196"/>
      <c r="K8" s="196"/>
    </row>
    <row r="9" spans="1:20" ht="18" x14ac:dyDescent="0.25">
      <c r="A9" s="57"/>
      <c r="B9" s="57"/>
      <c r="C9" s="57"/>
      <c r="D9" s="57"/>
      <c r="E9" s="57"/>
      <c r="F9" s="57"/>
      <c r="G9" s="57"/>
      <c r="H9" s="57"/>
      <c r="I9" s="57"/>
      <c r="J9" s="116"/>
    </row>
    <row r="10" spans="1:20" ht="27.75" customHeight="1" x14ac:dyDescent="0.25">
      <c r="A10" s="166" t="s">
        <v>86</v>
      </c>
      <c r="B10" s="166"/>
      <c r="C10" s="166"/>
      <c r="D10" s="166"/>
      <c r="E10" s="166"/>
      <c r="F10" s="166"/>
      <c r="G10" s="166"/>
      <c r="H10" s="166"/>
      <c r="I10" s="166"/>
      <c r="J10" s="166"/>
      <c r="K10" s="166"/>
    </row>
    <row r="11" spans="1:20" ht="18.75" thickBot="1" x14ac:dyDescent="0.3">
      <c r="A11" s="57"/>
      <c r="B11" s="57"/>
      <c r="C11" s="57"/>
      <c r="D11" s="57"/>
      <c r="E11" s="57"/>
      <c r="F11" s="57"/>
      <c r="G11" s="57"/>
      <c r="H11" s="57"/>
      <c r="I11" s="57"/>
      <c r="J11" s="116"/>
    </row>
    <row r="12" spans="1:20" ht="18" customHeight="1" thickBot="1" x14ac:dyDescent="0.3">
      <c r="A12" s="102" t="s">
        <v>41</v>
      </c>
      <c r="B12" s="102" t="s">
        <v>59</v>
      </c>
      <c r="C12" s="102" t="s">
        <v>60</v>
      </c>
      <c r="D12" s="102" t="s">
        <v>61</v>
      </c>
      <c r="E12" s="102" t="s">
        <v>62</v>
      </c>
      <c r="F12" s="102" t="s">
        <v>63</v>
      </c>
      <c r="G12" s="102" t="s">
        <v>64</v>
      </c>
      <c r="H12" s="102" t="s">
        <v>65</v>
      </c>
      <c r="I12" s="102" t="s">
        <v>66</v>
      </c>
      <c r="J12" s="125" t="s">
        <v>83</v>
      </c>
      <c r="K12" s="102" t="s">
        <v>7</v>
      </c>
      <c r="M12" s="197" t="s">
        <v>67</v>
      </c>
      <c r="N12" s="197"/>
      <c r="O12" s="194"/>
      <c r="T12" t="s">
        <v>7</v>
      </c>
    </row>
    <row r="13" spans="1:20" ht="18.75" x14ac:dyDescent="0.25">
      <c r="A13" s="119">
        <v>1</v>
      </c>
      <c r="B13" s="119" t="str">
        <f>'المحضر النهائي+ ِCode'!B17</f>
        <v>G201</v>
      </c>
      <c r="C13" s="119"/>
      <c r="D13" s="120"/>
      <c r="E13" s="121"/>
      <c r="F13" s="120"/>
      <c r="G13" s="122">
        <f>'المحضر النهائي+ ِCode'!C17</f>
        <v>0</v>
      </c>
      <c r="H13" s="122">
        <f>'المحضر النهائي+ ِCode'!D17</f>
        <v>0</v>
      </c>
      <c r="I13" s="122">
        <f>AVERAGE(G13:H13)</f>
        <v>0</v>
      </c>
      <c r="J13" s="123">
        <f>'المحضر النهائي+ ِCode'!F17</f>
        <v>1</v>
      </c>
      <c r="K13" s="124"/>
      <c r="M13" s="197"/>
      <c r="N13" s="197"/>
      <c r="O13" s="194"/>
      <c r="T13" t="s">
        <v>23</v>
      </c>
    </row>
    <row r="14" spans="1:20" ht="18.75" x14ac:dyDescent="0.25">
      <c r="A14" s="103">
        <v>2</v>
      </c>
      <c r="B14" s="103" t="str">
        <f>'المحضر النهائي+ ِCode'!B18</f>
        <v>G202</v>
      </c>
      <c r="C14" s="103"/>
      <c r="D14" s="104"/>
      <c r="E14" s="105"/>
      <c r="F14" s="104"/>
      <c r="G14" s="106">
        <f>'المحضر النهائي+ ِCode'!C18</f>
        <v>0</v>
      </c>
      <c r="H14" s="106">
        <f>'المحضر النهائي+ ِCode'!D18</f>
        <v>0</v>
      </c>
      <c r="I14" s="106">
        <f t="shared" ref="I14:I62" si="0">AVERAGE(G14:H14)</f>
        <v>0</v>
      </c>
      <c r="J14" s="123">
        <f>'المحضر النهائي+ ِCode'!F18</f>
        <v>1</v>
      </c>
      <c r="K14" s="110"/>
      <c r="M14" s="107"/>
      <c r="N14" s="107"/>
      <c r="T14" t="s">
        <v>84</v>
      </c>
    </row>
    <row r="15" spans="1:20" ht="18.75" x14ac:dyDescent="0.25">
      <c r="A15" s="103">
        <v>3</v>
      </c>
      <c r="B15" s="103" t="str">
        <f>'المحضر النهائي+ ِCode'!B19</f>
        <v>G203</v>
      </c>
      <c r="C15" s="103"/>
      <c r="D15" s="104"/>
      <c r="E15" s="105"/>
      <c r="F15" s="104"/>
      <c r="G15" s="106">
        <f>'المحضر النهائي+ ِCode'!C19</f>
        <v>0</v>
      </c>
      <c r="H15" s="106">
        <f>'المحضر النهائي+ ِCode'!D19</f>
        <v>0</v>
      </c>
      <c r="I15" s="106">
        <f t="shared" si="0"/>
        <v>0</v>
      </c>
      <c r="J15" s="123">
        <f>'المحضر النهائي+ ِCode'!F19</f>
        <v>1</v>
      </c>
      <c r="K15" s="110"/>
      <c r="M15" s="193" t="s">
        <v>68</v>
      </c>
      <c r="N15" s="193"/>
      <c r="O15" s="194"/>
      <c r="T15" t="s">
        <v>45</v>
      </c>
    </row>
    <row r="16" spans="1:20" ht="18.75" x14ac:dyDescent="0.25">
      <c r="A16" s="103">
        <v>4</v>
      </c>
      <c r="B16" s="103">
        <f>'المحضر النهائي+ ِCode'!B20</f>
        <v>0</v>
      </c>
      <c r="C16" s="103"/>
      <c r="D16" s="104"/>
      <c r="E16" s="105"/>
      <c r="F16" s="104"/>
      <c r="G16" s="106">
        <f>'المحضر النهائي+ ِCode'!C20</f>
        <v>0</v>
      </c>
      <c r="H16" s="106">
        <f>'المحضر النهائي+ ِCode'!D20</f>
        <v>0</v>
      </c>
      <c r="I16" s="106">
        <f t="shared" si="0"/>
        <v>0</v>
      </c>
      <c r="J16" s="123">
        <f>'المحضر النهائي+ ِCode'!F20</f>
        <v>1</v>
      </c>
      <c r="K16" s="110"/>
      <c r="M16" s="193"/>
      <c r="N16" s="193"/>
      <c r="O16" s="194"/>
    </row>
    <row r="17" spans="1:15" ht="18.75" x14ac:dyDescent="0.25">
      <c r="A17" s="103">
        <v>5</v>
      </c>
      <c r="B17" s="103">
        <f>'المحضر النهائي+ ِCode'!B21</f>
        <v>0</v>
      </c>
      <c r="C17" s="103"/>
      <c r="D17" s="104"/>
      <c r="E17" s="105"/>
      <c r="F17" s="104"/>
      <c r="G17" s="106">
        <f>'المحضر النهائي+ ِCode'!C21</f>
        <v>0</v>
      </c>
      <c r="H17" s="106">
        <f>'المحضر النهائي+ ِCode'!D21</f>
        <v>0</v>
      </c>
      <c r="I17" s="106">
        <f t="shared" si="0"/>
        <v>0</v>
      </c>
      <c r="J17" s="123">
        <f>'المحضر النهائي+ ِCode'!F21</f>
        <v>1</v>
      </c>
      <c r="K17" s="110"/>
      <c r="M17" s="107"/>
      <c r="N17" s="107"/>
    </row>
    <row r="18" spans="1:15" ht="18.75" x14ac:dyDescent="0.25">
      <c r="A18" s="103">
        <v>6</v>
      </c>
      <c r="B18" s="103">
        <f>'المحضر النهائي+ ِCode'!B22</f>
        <v>0</v>
      </c>
      <c r="C18" s="103"/>
      <c r="D18" s="104"/>
      <c r="E18" s="105"/>
      <c r="F18" s="104"/>
      <c r="G18" s="106">
        <f>'المحضر النهائي+ ِCode'!C22</f>
        <v>0</v>
      </c>
      <c r="H18" s="106">
        <f>'المحضر النهائي+ ِCode'!D22</f>
        <v>0</v>
      </c>
      <c r="I18" s="106">
        <f t="shared" si="0"/>
        <v>0</v>
      </c>
      <c r="J18" s="123">
        <f>'المحضر النهائي+ ِCode'!F22</f>
        <v>1</v>
      </c>
      <c r="K18" s="110"/>
      <c r="M18" s="107"/>
      <c r="N18" s="107"/>
    </row>
    <row r="19" spans="1:15" ht="18.75" x14ac:dyDescent="0.25">
      <c r="A19" s="103">
        <v>7</v>
      </c>
      <c r="B19" s="103">
        <f>'المحضر النهائي+ ِCode'!B23</f>
        <v>0</v>
      </c>
      <c r="C19" s="103"/>
      <c r="D19" s="104"/>
      <c r="E19" s="105"/>
      <c r="F19" s="104"/>
      <c r="G19" s="106">
        <f>'المحضر النهائي+ ِCode'!C23</f>
        <v>0</v>
      </c>
      <c r="H19" s="106">
        <f>'المحضر النهائي+ ِCode'!D23</f>
        <v>0</v>
      </c>
      <c r="I19" s="106">
        <f t="shared" si="0"/>
        <v>0</v>
      </c>
      <c r="J19" s="123">
        <f>'المحضر النهائي+ ِCode'!F23</f>
        <v>1</v>
      </c>
      <c r="K19" s="110"/>
      <c r="M19" s="193" t="s">
        <v>69</v>
      </c>
      <c r="N19" s="193"/>
      <c r="O19" s="194"/>
    </row>
    <row r="20" spans="1:15" ht="18.75" x14ac:dyDescent="0.25">
      <c r="A20" s="103">
        <v>8</v>
      </c>
      <c r="B20" s="103">
        <f>'المحضر النهائي+ ِCode'!B24</f>
        <v>0</v>
      </c>
      <c r="C20" s="103"/>
      <c r="D20" s="104"/>
      <c r="E20" s="105"/>
      <c r="F20" s="104"/>
      <c r="G20" s="106">
        <f>'المحضر النهائي+ ِCode'!C24</f>
        <v>0</v>
      </c>
      <c r="H20" s="106">
        <f>'المحضر النهائي+ ِCode'!D24</f>
        <v>0</v>
      </c>
      <c r="I20" s="106">
        <f t="shared" si="0"/>
        <v>0</v>
      </c>
      <c r="J20" s="123">
        <f>'المحضر النهائي+ ِCode'!F24</f>
        <v>1</v>
      </c>
      <c r="K20" s="110"/>
      <c r="M20" s="193"/>
      <c r="N20" s="193"/>
      <c r="O20" s="194"/>
    </row>
    <row r="21" spans="1:15" ht="18.75" x14ac:dyDescent="0.25">
      <c r="A21" s="103">
        <v>9</v>
      </c>
      <c r="B21" s="103">
        <f>'المحضر النهائي+ ِCode'!B25</f>
        <v>0</v>
      </c>
      <c r="C21" s="103"/>
      <c r="D21" s="104"/>
      <c r="E21" s="105"/>
      <c r="F21" s="104"/>
      <c r="G21" s="106">
        <f>'المحضر النهائي+ ِCode'!C25</f>
        <v>0</v>
      </c>
      <c r="H21" s="106">
        <f>'المحضر النهائي+ ِCode'!D25</f>
        <v>0</v>
      </c>
      <c r="I21" s="106">
        <f t="shared" si="0"/>
        <v>0</v>
      </c>
      <c r="J21" s="123">
        <f>'المحضر النهائي+ ِCode'!F25</f>
        <v>1</v>
      </c>
      <c r="K21" s="110"/>
    </row>
    <row r="22" spans="1:15" ht="18.75" x14ac:dyDescent="0.25">
      <c r="A22" s="103">
        <v>10</v>
      </c>
      <c r="B22" s="103">
        <f>'المحضر النهائي+ ِCode'!B26</f>
        <v>0</v>
      </c>
      <c r="C22" s="103"/>
      <c r="D22" s="104"/>
      <c r="E22" s="105"/>
      <c r="F22" s="104"/>
      <c r="G22" s="106">
        <f>'المحضر النهائي+ ِCode'!C26</f>
        <v>0</v>
      </c>
      <c r="H22" s="106">
        <f>'المحضر النهائي+ ِCode'!D26</f>
        <v>0</v>
      </c>
      <c r="I22" s="106">
        <f t="shared" si="0"/>
        <v>0</v>
      </c>
      <c r="J22" s="123">
        <f>'المحضر النهائي+ ِCode'!F26</f>
        <v>1</v>
      </c>
      <c r="K22" s="110"/>
    </row>
    <row r="23" spans="1:15" ht="18.75" x14ac:dyDescent="0.45">
      <c r="A23" s="103">
        <v>11</v>
      </c>
      <c r="B23" s="103">
        <f>'المحضر النهائي+ ِCode'!B27</f>
        <v>0</v>
      </c>
      <c r="C23" s="103"/>
      <c r="D23" s="104"/>
      <c r="E23" s="105"/>
      <c r="F23" s="104"/>
      <c r="G23" s="106">
        <f>'المحضر النهائي+ ِCode'!C27</f>
        <v>0</v>
      </c>
      <c r="H23" s="106">
        <f>'المحضر النهائي+ ِCode'!D27</f>
        <v>0</v>
      </c>
      <c r="I23" s="106">
        <f t="shared" si="0"/>
        <v>0</v>
      </c>
      <c r="J23" s="123">
        <f>'المحضر النهائي+ ِCode'!F27</f>
        <v>1</v>
      </c>
      <c r="K23" s="110"/>
      <c r="M23" s="204"/>
      <c r="N23" s="204"/>
    </row>
    <row r="24" spans="1:15" ht="18.75" x14ac:dyDescent="0.25">
      <c r="A24" s="103">
        <v>12</v>
      </c>
      <c r="B24" s="103">
        <f>'المحضر النهائي+ ِCode'!B28</f>
        <v>0</v>
      </c>
      <c r="C24" s="103"/>
      <c r="D24" s="104"/>
      <c r="E24" s="105"/>
      <c r="F24" s="104"/>
      <c r="G24" s="106">
        <f>'المحضر النهائي+ ِCode'!C28</f>
        <v>0</v>
      </c>
      <c r="H24" s="106">
        <f>'المحضر النهائي+ ِCode'!D28</f>
        <v>0</v>
      </c>
      <c r="I24" s="106">
        <f t="shared" si="0"/>
        <v>0</v>
      </c>
      <c r="J24" s="123">
        <f>'المحضر النهائي+ ِCode'!F28</f>
        <v>1</v>
      </c>
      <c r="K24" s="110"/>
      <c r="M24" s="172"/>
      <c r="N24" s="172"/>
    </row>
    <row r="25" spans="1:15" ht="18.75" x14ac:dyDescent="0.25">
      <c r="A25" s="103">
        <v>13</v>
      </c>
      <c r="B25" s="103">
        <f>'المحضر النهائي+ ِCode'!B29</f>
        <v>0</v>
      </c>
      <c r="C25" s="103"/>
      <c r="D25" s="104"/>
      <c r="E25" s="105"/>
      <c r="F25" s="104"/>
      <c r="G25" s="106">
        <f>'المحضر النهائي+ ِCode'!C29</f>
        <v>0</v>
      </c>
      <c r="H25" s="106">
        <f>'المحضر النهائي+ ِCode'!D29</f>
        <v>0</v>
      </c>
      <c r="I25" s="106">
        <f t="shared" si="0"/>
        <v>0</v>
      </c>
      <c r="J25" s="123">
        <f>'المحضر النهائي+ ِCode'!F29</f>
        <v>1</v>
      </c>
      <c r="K25" s="110"/>
      <c r="M25" s="29"/>
      <c r="N25" s="29"/>
    </row>
    <row r="26" spans="1:15" ht="18.75" x14ac:dyDescent="0.25">
      <c r="A26" s="103">
        <v>14</v>
      </c>
      <c r="B26" s="103">
        <f>'المحضر النهائي+ ِCode'!B30</f>
        <v>0</v>
      </c>
      <c r="C26" s="103"/>
      <c r="D26" s="104"/>
      <c r="E26" s="105"/>
      <c r="F26" s="104"/>
      <c r="G26" s="106">
        <f>'المحضر النهائي+ ِCode'!C30</f>
        <v>0</v>
      </c>
      <c r="H26" s="106">
        <f>'المحضر النهائي+ ِCode'!D30</f>
        <v>0</v>
      </c>
      <c r="I26" s="106">
        <f t="shared" si="0"/>
        <v>0</v>
      </c>
      <c r="J26" s="123">
        <f>'المحضر النهائي+ ِCode'!F30</f>
        <v>1</v>
      </c>
      <c r="K26" s="110"/>
      <c r="M26" s="205" t="s">
        <v>70</v>
      </c>
      <c r="N26" s="205"/>
    </row>
    <row r="27" spans="1:15" ht="18.75" x14ac:dyDescent="0.25">
      <c r="A27" s="103">
        <v>15</v>
      </c>
      <c r="B27" s="103">
        <f>'المحضر النهائي+ ِCode'!B31</f>
        <v>0</v>
      </c>
      <c r="C27" s="103"/>
      <c r="D27" s="104"/>
      <c r="E27" s="105"/>
      <c r="F27" s="104"/>
      <c r="G27" s="106">
        <f>'المحضر النهائي+ ِCode'!C31</f>
        <v>0</v>
      </c>
      <c r="H27" s="106">
        <f>'المحضر النهائي+ ِCode'!D31</f>
        <v>0</v>
      </c>
      <c r="I27" s="106">
        <f t="shared" si="0"/>
        <v>0</v>
      </c>
      <c r="J27" s="123">
        <f>'المحضر النهائي+ ِCode'!F31</f>
        <v>1</v>
      </c>
      <c r="K27" s="110"/>
    </row>
    <row r="28" spans="1:15" ht="18.75" x14ac:dyDescent="0.45">
      <c r="A28" s="103">
        <v>16</v>
      </c>
      <c r="B28" s="103">
        <f>'المحضر النهائي+ ِCode'!B32</f>
        <v>0</v>
      </c>
      <c r="C28" s="103"/>
      <c r="D28" s="104"/>
      <c r="E28" s="105"/>
      <c r="F28" s="104"/>
      <c r="G28" s="106">
        <f>'المحضر النهائي+ ِCode'!C32</f>
        <v>0</v>
      </c>
      <c r="H28" s="106">
        <f>'المحضر النهائي+ ِCode'!D32</f>
        <v>0</v>
      </c>
      <c r="I28" s="106">
        <f t="shared" si="0"/>
        <v>0</v>
      </c>
      <c r="J28" s="123">
        <f>'المحضر النهائي+ ِCode'!F32</f>
        <v>1</v>
      </c>
      <c r="K28" s="110"/>
      <c r="L28" s="108" t="s">
        <v>71</v>
      </c>
    </row>
    <row r="29" spans="1:15" ht="18.75" x14ac:dyDescent="0.45">
      <c r="A29" s="103">
        <v>17</v>
      </c>
      <c r="B29" s="103">
        <f>'المحضر النهائي+ ِCode'!B33</f>
        <v>0</v>
      </c>
      <c r="C29" s="103"/>
      <c r="D29" s="104"/>
      <c r="E29" s="105"/>
      <c r="F29" s="104"/>
      <c r="G29" s="106">
        <f>'المحضر النهائي+ ِCode'!C33</f>
        <v>0</v>
      </c>
      <c r="H29" s="106">
        <f>'المحضر النهائي+ ِCode'!D33</f>
        <v>0</v>
      </c>
      <c r="I29" s="106">
        <f t="shared" si="0"/>
        <v>0</v>
      </c>
      <c r="J29" s="123">
        <f>'المحضر النهائي+ ِCode'!F33</f>
        <v>1</v>
      </c>
      <c r="K29" s="110"/>
      <c r="L29" s="109"/>
    </row>
    <row r="30" spans="1:15" ht="18.75" x14ac:dyDescent="0.45">
      <c r="A30" s="103">
        <v>18</v>
      </c>
      <c r="B30" s="103">
        <f>'المحضر النهائي+ ِCode'!B34</f>
        <v>0</v>
      </c>
      <c r="C30" s="103"/>
      <c r="D30" s="104"/>
      <c r="E30" s="105"/>
      <c r="F30" s="104"/>
      <c r="G30" s="106">
        <f>'المحضر النهائي+ ِCode'!C34</f>
        <v>0</v>
      </c>
      <c r="H30" s="106">
        <f>'المحضر النهائي+ ِCode'!D34</f>
        <v>0</v>
      </c>
      <c r="I30" s="106">
        <f t="shared" si="0"/>
        <v>0</v>
      </c>
      <c r="J30" s="123">
        <f>'المحضر النهائي+ ِCode'!F34</f>
        <v>1</v>
      </c>
      <c r="K30" s="110"/>
      <c r="L30" s="108" t="s">
        <v>72</v>
      </c>
    </row>
    <row r="31" spans="1:15" ht="18.75" x14ac:dyDescent="0.45">
      <c r="A31" s="103">
        <v>19</v>
      </c>
      <c r="B31" s="103">
        <f>'المحضر النهائي+ ِCode'!B35</f>
        <v>0</v>
      </c>
      <c r="C31" s="103"/>
      <c r="D31" s="104"/>
      <c r="E31" s="105"/>
      <c r="F31" s="104"/>
      <c r="G31" s="106">
        <f>'المحضر النهائي+ ِCode'!C35</f>
        <v>0</v>
      </c>
      <c r="H31" s="106">
        <f>'المحضر النهائي+ ِCode'!D35</f>
        <v>0</v>
      </c>
      <c r="I31" s="106">
        <f t="shared" si="0"/>
        <v>0</v>
      </c>
      <c r="J31" s="123">
        <f>'المحضر النهائي+ ِCode'!F35</f>
        <v>1</v>
      </c>
      <c r="K31" s="110"/>
      <c r="L31" s="109"/>
    </row>
    <row r="32" spans="1:15" ht="18.75" x14ac:dyDescent="0.45">
      <c r="A32" s="103">
        <v>20</v>
      </c>
      <c r="B32" s="103">
        <f>'المحضر النهائي+ ِCode'!B36</f>
        <v>0</v>
      </c>
      <c r="C32" s="103"/>
      <c r="D32" s="104"/>
      <c r="E32" s="105"/>
      <c r="F32" s="104"/>
      <c r="G32" s="106">
        <f>'المحضر النهائي+ ِCode'!C36</f>
        <v>0</v>
      </c>
      <c r="H32" s="106">
        <f>'المحضر النهائي+ ِCode'!D36</f>
        <v>0</v>
      </c>
      <c r="I32" s="106">
        <f t="shared" si="0"/>
        <v>0</v>
      </c>
      <c r="J32" s="123">
        <f>'المحضر النهائي+ ِCode'!F36</f>
        <v>1</v>
      </c>
      <c r="K32" s="110"/>
      <c r="L32" s="109" t="s">
        <v>73</v>
      </c>
    </row>
    <row r="33" spans="1:12" ht="18.75" x14ac:dyDescent="0.45">
      <c r="A33" s="103">
        <v>21</v>
      </c>
      <c r="B33" s="103">
        <f>'المحضر النهائي+ ِCode'!B37</f>
        <v>0</v>
      </c>
      <c r="C33" s="103"/>
      <c r="D33" s="104"/>
      <c r="E33" s="105"/>
      <c r="F33" s="104"/>
      <c r="G33" s="106">
        <f>'المحضر النهائي+ ِCode'!C37</f>
        <v>0</v>
      </c>
      <c r="H33" s="106">
        <f>'المحضر النهائي+ ِCode'!D37</f>
        <v>0</v>
      </c>
      <c r="I33" s="106">
        <f t="shared" si="0"/>
        <v>0</v>
      </c>
      <c r="J33" s="123">
        <f>'المحضر النهائي+ ِCode'!F37</f>
        <v>1</v>
      </c>
      <c r="K33" s="110"/>
      <c r="L33" s="109"/>
    </row>
    <row r="34" spans="1:12" ht="18.75" x14ac:dyDescent="0.45">
      <c r="A34" s="103">
        <v>22</v>
      </c>
      <c r="B34" s="103">
        <f>'المحضر النهائي+ ِCode'!B38</f>
        <v>0</v>
      </c>
      <c r="C34" s="103"/>
      <c r="D34" s="104"/>
      <c r="E34" s="105"/>
      <c r="F34" s="104"/>
      <c r="G34" s="106">
        <f>'المحضر النهائي+ ِCode'!C38</f>
        <v>0</v>
      </c>
      <c r="H34" s="106">
        <f>'المحضر النهائي+ ِCode'!D38</f>
        <v>0</v>
      </c>
      <c r="I34" s="106">
        <f t="shared" si="0"/>
        <v>0</v>
      </c>
      <c r="J34" s="123">
        <f>'المحضر النهائي+ ِCode'!F38</f>
        <v>1</v>
      </c>
      <c r="K34" s="110"/>
      <c r="L34" s="109" t="s">
        <v>74</v>
      </c>
    </row>
    <row r="35" spans="1:12" ht="18.75" x14ac:dyDescent="0.45">
      <c r="A35" s="103">
        <v>23</v>
      </c>
      <c r="B35" s="103">
        <f>'المحضر النهائي+ ِCode'!B39</f>
        <v>0</v>
      </c>
      <c r="C35" s="103"/>
      <c r="D35" s="104"/>
      <c r="E35" s="105"/>
      <c r="F35" s="104"/>
      <c r="G35" s="106">
        <f>'المحضر النهائي+ ِCode'!C39</f>
        <v>0</v>
      </c>
      <c r="H35" s="106">
        <f>'المحضر النهائي+ ِCode'!D39</f>
        <v>0</v>
      </c>
      <c r="I35" s="106">
        <f t="shared" si="0"/>
        <v>0</v>
      </c>
      <c r="J35" s="123">
        <f>'المحضر النهائي+ ِCode'!F39</f>
        <v>1</v>
      </c>
      <c r="K35" s="110"/>
      <c r="L35" s="109"/>
    </row>
    <row r="36" spans="1:12" ht="18.75" x14ac:dyDescent="0.45">
      <c r="A36" s="103">
        <v>24</v>
      </c>
      <c r="B36" s="103">
        <f>'المحضر النهائي+ ِCode'!B40</f>
        <v>0</v>
      </c>
      <c r="C36" s="103"/>
      <c r="D36" s="104"/>
      <c r="E36" s="105"/>
      <c r="F36" s="104"/>
      <c r="G36" s="106">
        <f>'المحضر النهائي+ ِCode'!C40</f>
        <v>0</v>
      </c>
      <c r="H36" s="106">
        <f>'المحضر النهائي+ ِCode'!D40</f>
        <v>0</v>
      </c>
      <c r="I36" s="106">
        <f t="shared" si="0"/>
        <v>0</v>
      </c>
      <c r="J36" s="123">
        <f>'المحضر النهائي+ ِCode'!F40</f>
        <v>1</v>
      </c>
      <c r="K36" s="110"/>
      <c r="L36" s="109" t="s">
        <v>75</v>
      </c>
    </row>
    <row r="37" spans="1:12" ht="18.75" x14ac:dyDescent="0.25">
      <c r="A37" s="103">
        <v>25</v>
      </c>
      <c r="B37" s="103">
        <f>'المحضر النهائي+ ِCode'!B41</f>
        <v>0</v>
      </c>
      <c r="C37" s="103"/>
      <c r="D37" s="104"/>
      <c r="E37" s="105"/>
      <c r="F37" s="104"/>
      <c r="G37" s="106">
        <f>'المحضر النهائي+ ِCode'!C41</f>
        <v>0</v>
      </c>
      <c r="H37" s="106">
        <f>'المحضر النهائي+ ِCode'!D41</f>
        <v>0</v>
      </c>
      <c r="I37" s="106">
        <f t="shared" si="0"/>
        <v>0</v>
      </c>
      <c r="J37" s="123">
        <f>'المحضر النهائي+ ِCode'!F41</f>
        <v>1</v>
      </c>
      <c r="K37" s="110"/>
    </row>
    <row r="38" spans="1:12" ht="18.75" x14ac:dyDescent="0.25">
      <c r="A38" s="103">
        <v>26</v>
      </c>
      <c r="B38" s="103">
        <f>'المحضر النهائي+ ِCode'!B42</f>
        <v>0</v>
      </c>
      <c r="C38" s="103"/>
      <c r="D38" s="104"/>
      <c r="E38" s="105"/>
      <c r="F38" s="104"/>
      <c r="G38" s="106">
        <f>'المحضر النهائي+ ِCode'!C42</f>
        <v>0</v>
      </c>
      <c r="H38" s="106">
        <f>'المحضر النهائي+ ِCode'!D42</f>
        <v>0</v>
      </c>
      <c r="I38" s="106">
        <f t="shared" si="0"/>
        <v>0</v>
      </c>
      <c r="J38" s="123">
        <f>'المحضر النهائي+ ِCode'!F42</f>
        <v>1</v>
      </c>
      <c r="K38" s="110"/>
      <c r="L38" t="s">
        <v>76</v>
      </c>
    </row>
    <row r="39" spans="1:12" ht="18.75" x14ac:dyDescent="0.25">
      <c r="A39" s="103">
        <v>27</v>
      </c>
      <c r="B39" s="103">
        <f>'المحضر النهائي+ ِCode'!B43</f>
        <v>0</v>
      </c>
      <c r="C39" s="103"/>
      <c r="D39" s="104"/>
      <c r="E39" s="105"/>
      <c r="F39" s="104"/>
      <c r="G39" s="106">
        <f>'المحضر النهائي+ ِCode'!C43</f>
        <v>0</v>
      </c>
      <c r="H39" s="106">
        <f>'المحضر النهائي+ ِCode'!D43</f>
        <v>0</v>
      </c>
      <c r="I39" s="106">
        <f t="shared" si="0"/>
        <v>0</v>
      </c>
      <c r="J39" s="123">
        <f>'المحضر النهائي+ ِCode'!F43</f>
        <v>1</v>
      </c>
      <c r="K39" s="110"/>
    </row>
    <row r="40" spans="1:12" ht="18.75" x14ac:dyDescent="0.25">
      <c r="A40" s="103">
        <v>28</v>
      </c>
      <c r="B40" s="103">
        <f>'المحضر النهائي+ ِCode'!B44</f>
        <v>0</v>
      </c>
      <c r="C40" s="103"/>
      <c r="D40" s="104"/>
      <c r="E40" s="105"/>
      <c r="F40" s="104"/>
      <c r="G40" s="106">
        <f>'المحضر النهائي+ ِCode'!C44</f>
        <v>0</v>
      </c>
      <c r="H40" s="106">
        <f>'المحضر النهائي+ ِCode'!D44</f>
        <v>0</v>
      </c>
      <c r="I40" s="106">
        <f t="shared" si="0"/>
        <v>0</v>
      </c>
      <c r="J40" s="123">
        <f>'المحضر النهائي+ ِCode'!F44</f>
        <v>1</v>
      </c>
      <c r="K40" s="110"/>
      <c r="L40" t="s">
        <v>77</v>
      </c>
    </row>
    <row r="41" spans="1:12" ht="18.75" x14ac:dyDescent="0.25">
      <c r="A41" s="103">
        <v>29</v>
      </c>
      <c r="B41" s="103">
        <f>'المحضر النهائي+ ِCode'!B45</f>
        <v>0</v>
      </c>
      <c r="C41" s="103"/>
      <c r="D41" s="104"/>
      <c r="E41" s="105"/>
      <c r="F41" s="104"/>
      <c r="G41" s="106">
        <f>'المحضر النهائي+ ِCode'!C45</f>
        <v>0</v>
      </c>
      <c r="H41" s="106">
        <f>'المحضر النهائي+ ِCode'!D45</f>
        <v>0</v>
      </c>
      <c r="I41" s="106">
        <f t="shared" si="0"/>
        <v>0</v>
      </c>
      <c r="J41" s="123">
        <f>'المحضر النهائي+ ِCode'!F45</f>
        <v>1</v>
      </c>
      <c r="K41" s="110"/>
    </row>
    <row r="42" spans="1:12" ht="18.75" x14ac:dyDescent="0.25">
      <c r="A42" s="103">
        <v>30</v>
      </c>
      <c r="B42" s="103">
        <f>'المحضر النهائي+ ِCode'!B46</f>
        <v>0</v>
      </c>
      <c r="C42" s="103"/>
      <c r="D42" s="104"/>
      <c r="E42" s="105"/>
      <c r="F42" s="104"/>
      <c r="G42" s="106">
        <f>'المحضر النهائي+ ِCode'!C46</f>
        <v>0</v>
      </c>
      <c r="H42" s="106">
        <f>'المحضر النهائي+ ِCode'!D46</f>
        <v>0</v>
      </c>
      <c r="I42" s="106">
        <f t="shared" si="0"/>
        <v>0</v>
      </c>
      <c r="J42" s="123">
        <f>'المحضر النهائي+ ِCode'!F46</f>
        <v>1</v>
      </c>
      <c r="K42" s="110"/>
    </row>
    <row r="43" spans="1:12" ht="18.75" x14ac:dyDescent="0.25">
      <c r="A43" s="103">
        <v>31</v>
      </c>
      <c r="B43" s="103">
        <f>'المحضر النهائي+ ِCode'!B47</f>
        <v>0</v>
      </c>
      <c r="C43" s="103"/>
      <c r="D43" s="104"/>
      <c r="E43" s="105"/>
      <c r="F43" s="104"/>
      <c r="G43" s="106">
        <f>'المحضر النهائي+ ِCode'!C47</f>
        <v>0</v>
      </c>
      <c r="H43" s="106">
        <f>'المحضر النهائي+ ِCode'!D47</f>
        <v>0</v>
      </c>
      <c r="I43" s="106">
        <f t="shared" si="0"/>
        <v>0</v>
      </c>
      <c r="J43" s="123">
        <f>'المحضر النهائي+ ِCode'!F47</f>
        <v>1</v>
      </c>
      <c r="K43" s="110"/>
    </row>
    <row r="44" spans="1:12" ht="18.75" x14ac:dyDescent="0.25">
      <c r="A44" s="103">
        <v>32</v>
      </c>
      <c r="B44" s="103">
        <f>'المحضر النهائي+ ِCode'!B48</f>
        <v>0</v>
      </c>
      <c r="C44" s="103"/>
      <c r="D44" s="104"/>
      <c r="E44" s="105"/>
      <c r="F44" s="104"/>
      <c r="G44" s="106">
        <f>'المحضر النهائي+ ِCode'!C48</f>
        <v>0</v>
      </c>
      <c r="H44" s="106">
        <f>'المحضر النهائي+ ِCode'!D48</f>
        <v>0</v>
      </c>
      <c r="I44" s="106">
        <f t="shared" si="0"/>
        <v>0</v>
      </c>
      <c r="J44" s="123">
        <f>'المحضر النهائي+ ِCode'!F48</f>
        <v>1</v>
      </c>
      <c r="K44" s="110"/>
    </row>
    <row r="45" spans="1:12" ht="18.75" x14ac:dyDescent="0.25">
      <c r="A45" s="103">
        <v>33</v>
      </c>
      <c r="B45" s="103">
        <f>'المحضر النهائي+ ِCode'!B49</f>
        <v>0</v>
      </c>
      <c r="C45" s="103"/>
      <c r="D45" s="104"/>
      <c r="E45" s="105"/>
      <c r="F45" s="104"/>
      <c r="G45" s="106">
        <f>'المحضر النهائي+ ِCode'!C49</f>
        <v>0</v>
      </c>
      <c r="H45" s="106">
        <f>'المحضر النهائي+ ِCode'!D49</f>
        <v>0</v>
      </c>
      <c r="I45" s="106">
        <f t="shared" si="0"/>
        <v>0</v>
      </c>
      <c r="J45" s="123">
        <f>'المحضر النهائي+ ِCode'!F49</f>
        <v>1</v>
      </c>
      <c r="K45" s="110"/>
    </row>
    <row r="46" spans="1:12" ht="18.75" x14ac:dyDescent="0.25">
      <c r="A46" s="103">
        <v>34</v>
      </c>
      <c r="B46" s="103">
        <f>'المحضر النهائي+ ِCode'!B50</f>
        <v>0</v>
      </c>
      <c r="C46" s="103"/>
      <c r="D46" s="104"/>
      <c r="E46" s="105"/>
      <c r="F46" s="104"/>
      <c r="G46" s="106">
        <f>'المحضر النهائي+ ِCode'!C50</f>
        <v>0</v>
      </c>
      <c r="H46" s="106">
        <f>'المحضر النهائي+ ِCode'!D50</f>
        <v>0</v>
      </c>
      <c r="I46" s="106">
        <f t="shared" si="0"/>
        <v>0</v>
      </c>
      <c r="J46" s="123">
        <f>'المحضر النهائي+ ِCode'!F50</f>
        <v>1</v>
      </c>
      <c r="K46" s="110"/>
    </row>
    <row r="47" spans="1:12" ht="18.75" x14ac:dyDescent="0.25">
      <c r="A47" s="103">
        <v>35</v>
      </c>
      <c r="B47" s="103">
        <f>'المحضر النهائي+ ِCode'!B51</f>
        <v>0</v>
      </c>
      <c r="C47" s="103"/>
      <c r="D47" s="104"/>
      <c r="E47" s="105"/>
      <c r="F47" s="104"/>
      <c r="G47" s="106">
        <f>'المحضر النهائي+ ِCode'!C51</f>
        <v>0</v>
      </c>
      <c r="H47" s="106">
        <f>'المحضر النهائي+ ِCode'!D51</f>
        <v>0</v>
      </c>
      <c r="I47" s="106">
        <f t="shared" si="0"/>
        <v>0</v>
      </c>
      <c r="J47" s="123">
        <f>'المحضر النهائي+ ِCode'!F51</f>
        <v>1</v>
      </c>
      <c r="K47" s="110"/>
    </row>
    <row r="48" spans="1:12" ht="18.75" x14ac:dyDescent="0.25">
      <c r="A48" s="103">
        <v>36</v>
      </c>
      <c r="B48" s="103">
        <f>'المحضر النهائي+ ِCode'!B52</f>
        <v>0</v>
      </c>
      <c r="C48" s="103"/>
      <c r="D48" s="104"/>
      <c r="E48" s="105"/>
      <c r="F48" s="104"/>
      <c r="G48" s="106">
        <f>'المحضر النهائي+ ِCode'!C52</f>
        <v>0</v>
      </c>
      <c r="H48" s="106">
        <f>'المحضر النهائي+ ِCode'!D52</f>
        <v>0</v>
      </c>
      <c r="I48" s="106">
        <f t="shared" si="0"/>
        <v>0</v>
      </c>
      <c r="J48" s="123">
        <f>'المحضر النهائي+ ِCode'!F52</f>
        <v>1</v>
      </c>
      <c r="K48" s="110"/>
    </row>
    <row r="49" spans="1:11" ht="18.75" x14ac:dyDescent="0.25">
      <c r="A49" s="103">
        <v>37</v>
      </c>
      <c r="B49" s="103">
        <f>'المحضر النهائي+ ِCode'!B53</f>
        <v>0</v>
      </c>
      <c r="C49" s="103"/>
      <c r="D49" s="104"/>
      <c r="E49" s="105"/>
      <c r="F49" s="104"/>
      <c r="G49" s="106">
        <f>'المحضر النهائي+ ِCode'!C53</f>
        <v>0</v>
      </c>
      <c r="H49" s="106">
        <f>'المحضر النهائي+ ِCode'!D53</f>
        <v>0</v>
      </c>
      <c r="I49" s="106">
        <f t="shared" si="0"/>
        <v>0</v>
      </c>
      <c r="J49" s="123">
        <f>'المحضر النهائي+ ِCode'!F53</f>
        <v>1</v>
      </c>
      <c r="K49" s="110"/>
    </row>
    <row r="50" spans="1:11" ht="18.75" x14ac:dyDescent="0.25">
      <c r="A50" s="103">
        <v>38</v>
      </c>
      <c r="B50" s="103">
        <f>'المحضر النهائي+ ِCode'!B54</f>
        <v>0</v>
      </c>
      <c r="C50" s="103"/>
      <c r="D50" s="104"/>
      <c r="E50" s="105"/>
      <c r="F50" s="104"/>
      <c r="G50" s="106">
        <f>'المحضر النهائي+ ِCode'!C54</f>
        <v>0</v>
      </c>
      <c r="H50" s="106">
        <f>'المحضر النهائي+ ِCode'!D54</f>
        <v>0</v>
      </c>
      <c r="I50" s="106">
        <f t="shared" si="0"/>
        <v>0</v>
      </c>
      <c r="J50" s="123">
        <f>'المحضر النهائي+ ِCode'!F54</f>
        <v>1</v>
      </c>
      <c r="K50" s="110"/>
    </row>
    <row r="51" spans="1:11" ht="18.75" x14ac:dyDescent="0.25">
      <c r="A51" s="103">
        <v>39</v>
      </c>
      <c r="B51" s="103">
        <f>'المحضر النهائي+ ِCode'!B55</f>
        <v>0</v>
      </c>
      <c r="C51" s="103"/>
      <c r="D51" s="104"/>
      <c r="E51" s="105"/>
      <c r="F51" s="104"/>
      <c r="G51" s="106">
        <f>'المحضر النهائي+ ِCode'!C55</f>
        <v>0</v>
      </c>
      <c r="H51" s="106">
        <f>'المحضر النهائي+ ِCode'!D55</f>
        <v>0</v>
      </c>
      <c r="I51" s="106">
        <f t="shared" si="0"/>
        <v>0</v>
      </c>
      <c r="J51" s="123">
        <f>'المحضر النهائي+ ِCode'!F55</f>
        <v>1</v>
      </c>
      <c r="K51" s="110"/>
    </row>
    <row r="52" spans="1:11" ht="18.75" x14ac:dyDescent="0.25">
      <c r="A52" s="103">
        <v>40</v>
      </c>
      <c r="B52" s="103">
        <f>'المحضر النهائي+ ِCode'!B56</f>
        <v>0</v>
      </c>
      <c r="C52" s="103"/>
      <c r="D52" s="104"/>
      <c r="E52" s="105"/>
      <c r="F52" s="104"/>
      <c r="G52" s="106">
        <f>'المحضر النهائي+ ِCode'!C56</f>
        <v>0</v>
      </c>
      <c r="H52" s="106">
        <f>'المحضر النهائي+ ِCode'!D56</f>
        <v>0</v>
      </c>
      <c r="I52" s="106">
        <f t="shared" si="0"/>
        <v>0</v>
      </c>
      <c r="J52" s="123">
        <f>'المحضر النهائي+ ِCode'!F56</f>
        <v>1</v>
      </c>
      <c r="K52" s="110"/>
    </row>
    <row r="53" spans="1:11" ht="18.75" x14ac:dyDescent="0.25">
      <c r="A53" s="103">
        <v>41</v>
      </c>
      <c r="B53" s="103">
        <f>'المحضر النهائي+ ِCode'!B57</f>
        <v>0</v>
      </c>
      <c r="C53" s="103"/>
      <c r="D53" s="104"/>
      <c r="E53" s="105"/>
      <c r="F53" s="104"/>
      <c r="G53" s="106">
        <f>'المحضر النهائي+ ِCode'!C57</f>
        <v>0</v>
      </c>
      <c r="H53" s="106">
        <f>'المحضر النهائي+ ِCode'!D57</f>
        <v>0</v>
      </c>
      <c r="I53" s="106">
        <f t="shared" si="0"/>
        <v>0</v>
      </c>
      <c r="J53" s="123">
        <f>'المحضر النهائي+ ِCode'!F57</f>
        <v>1</v>
      </c>
      <c r="K53" s="110"/>
    </row>
    <row r="54" spans="1:11" ht="18.75" x14ac:dyDescent="0.25">
      <c r="A54" s="103">
        <v>42</v>
      </c>
      <c r="B54" s="103">
        <f>'المحضر النهائي+ ِCode'!B58</f>
        <v>0</v>
      </c>
      <c r="C54" s="103"/>
      <c r="D54" s="104"/>
      <c r="E54" s="105"/>
      <c r="F54" s="104"/>
      <c r="G54" s="106">
        <f>'المحضر النهائي+ ِCode'!C58</f>
        <v>0</v>
      </c>
      <c r="H54" s="106">
        <f>'المحضر النهائي+ ِCode'!D58</f>
        <v>0</v>
      </c>
      <c r="I54" s="106">
        <f t="shared" si="0"/>
        <v>0</v>
      </c>
      <c r="J54" s="123">
        <f>'المحضر النهائي+ ِCode'!F58</f>
        <v>1</v>
      </c>
      <c r="K54" s="110"/>
    </row>
    <row r="55" spans="1:11" ht="18.75" x14ac:dyDescent="0.25">
      <c r="A55" s="103">
        <v>43</v>
      </c>
      <c r="B55" s="103">
        <f>'المحضر النهائي+ ِCode'!B59</f>
        <v>0</v>
      </c>
      <c r="C55" s="103"/>
      <c r="D55" s="104"/>
      <c r="E55" s="105"/>
      <c r="F55" s="104"/>
      <c r="G55" s="106">
        <f>'المحضر النهائي+ ِCode'!C59</f>
        <v>0</v>
      </c>
      <c r="H55" s="106">
        <f>'المحضر النهائي+ ِCode'!D59</f>
        <v>0</v>
      </c>
      <c r="I55" s="106">
        <f t="shared" si="0"/>
        <v>0</v>
      </c>
      <c r="J55" s="123">
        <f>'المحضر النهائي+ ِCode'!F59</f>
        <v>1</v>
      </c>
      <c r="K55" s="110"/>
    </row>
    <row r="56" spans="1:11" ht="18.75" x14ac:dyDescent="0.25">
      <c r="A56" s="103">
        <v>44</v>
      </c>
      <c r="B56" s="103">
        <f>'المحضر النهائي+ ِCode'!B60</f>
        <v>0</v>
      </c>
      <c r="C56" s="103"/>
      <c r="D56" s="104"/>
      <c r="E56" s="105"/>
      <c r="F56" s="104"/>
      <c r="G56" s="106">
        <f>'المحضر النهائي+ ِCode'!C60</f>
        <v>0</v>
      </c>
      <c r="H56" s="106">
        <f>'المحضر النهائي+ ِCode'!D60</f>
        <v>0</v>
      </c>
      <c r="I56" s="106">
        <f t="shared" si="0"/>
        <v>0</v>
      </c>
      <c r="J56" s="123">
        <f>'المحضر النهائي+ ِCode'!F60</f>
        <v>1</v>
      </c>
      <c r="K56" s="110"/>
    </row>
    <row r="57" spans="1:11" ht="18.75" x14ac:dyDescent="0.25">
      <c r="A57" s="103">
        <v>45</v>
      </c>
      <c r="B57" s="103">
        <f>'المحضر النهائي+ ِCode'!B61</f>
        <v>0</v>
      </c>
      <c r="C57" s="103"/>
      <c r="D57" s="104"/>
      <c r="E57" s="105"/>
      <c r="F57" s="104"/>
      <c r="G57" s="106">
        <f>'المحضر النهائي+ ِCode'!C61</f>
        <v>0</v>
      </c>
      <c r="H57" s="106">
        <f>'المحضر النهائي+ ِCode'!D61</f>
        <v>0</v>
      </c>
      <c r="I57" s="106">
        <f t="shared" si="0"/>
        <v>0</v>
      </c>
      <c r="J57" s="123">
        <f>'المحضر النهائي+ ِCode'!F61</f>
        <v>1</v>
      </c>
      <c r="K57" s="110"/>
    </row>
    <row r="58" spans="1:11" ht="18.75" x14ac:dyDescent="0.25">
      <c r="A58" s="103">
        <v>46</v>
      </c>
      <c r="B58" s="103">
        <f>'المحضر النهائي+ ِCode'!B62</f>
        <v>0</v>
      </c>
      <c r="C58" s="103"/>
      <c r="D58" s="104"/>
      <c r="E58" s="105"/>
      <c r="F58" s="104"/>
      <c r="G58" s="106">
        <f>'المحضر النهائي+ ِCode'!C62</f>
        <v>0</v>
      </c>
      <c r="H58" s="106">
        <f>'المحضر النهائي+ ِCode'!D62</f>
        <v>0</v>
      </c>
      <c r="I58" s="106">
        <f t="shared" si="0"/>
        <v>0</v>
      </c>
      <c r="J58" s="123">
        <f>'المحضر النهائي+ ِCode'!F62</f>
        <v>1</v>
      </c>
      <c r="K58" s="110"/>
    </row>
    <row r="59" spans="1:11" ht="18.75" x14ac:dyDescent="0.25">
      <c r="A59" s="103">
        <v>47</v>
      </c>
      <c r="B59" s="103">
        <f>'المحضر النهائي+ ِCode'!B63</f>
        <v>0</v>
      </c>
      <c r="C59" s="103"/>
      <c r="D59" s="104"/>
      <c r="E59" s="105"/>
      <c r="F59" s="104"/>
      <c r="G59" s="106">
        <f>'المحضر النهائي+ ِCode'!C63</f>
        <v>0</v>
      </c>
      <c r="H59" s="106">
        <f>'المحضر النهائي+ ِCode'!D63</f>
        <v>0</v>
      </c>
      <c r="I59" s="106">
        <f t="shared" si="0"/>
        <v>0</v>
      </c>
      <c r="J59" s="123">
        <f>'المحضر النهائي+ ِCode'!F63</f>
        <v>1</v>
      </c>
      <c r="K59" s="110"/>
    </row>
    <row r="60" spans="1:11" ht="18.75" x14ac:dyDescent="0.25">
      <c r="A60" s="103">
        <v>48</v>
      </c>
      <c r="B60" s="103">
        <f>'المحضر النهائي+ ِCode'!B64</f>
        <v>0</v>
      </c>
      <c r="C60" s="103"/>
      <c r="D60" s="104"/>
      <c r="E60" s="105"/>
      <c r="F60" s="104"/>
      <c r="G60" s="106">
        <f>'المحضر النهائي+ ِCode'!C64</f>
        <v>0</v>
      </c>
      <c r="H60" s="106">
        <f>'المحضر النهائي+ ِCode'!D64</f>
        <v>0</v>
      </c>
      <c r="I60" s="106">
        <f t="shared" si="0"/>
        <v>0</v>
      </c>
      <c r="J60" s="123">
        <f>'المحضر النهائي+ ِCode'!F64</f>
        <v>1</v>
      </c>
      <c r="K60" s="110"/>
    </row>
    <row r="61" spans="1:11" ht="18.75" x14ac:dyDescent="0.25">
      <c r="A61" s="103">
        <v>49</v>
      </c>
      <c r="B61" s="103">
        <f>'المحضر النهائي+ ِCode'!B65</f>
        <v>0</v>
      </c>
      <c r="C61" s="103"/>
      <c r="D61" s="104"/>
      <c r="E61" s="105"/>
      <c r="F61" s="104"/>
      <c r="G61" s="106">
        <f>'المحضر النهائي+ ِCode'!C65</f>
        <v>0</v>
      </c>
      <c r="H61" s="106">
        <f>'المحضر النهائي+ ِCode'!D65</f>
        <v>0</v>
      </c>
      <c r="I61" s="106">
        <f t="shared" si="0"/>
        <v>0</v>
      </c>
      <c r="J61" s="123">
        <f>'المحضر النهائي+ ِCode'!F65</f>
        <v>1</v>
      </c>
      <c r="K61" s="110"/>
    </row>
    <row r="62" spans="1:11" ht="18.75" x14ac:dyDescent="0.25">
      <c r="A62" s="103">
        <v>50</v>
      </c>
      <c r="B62" s="103">
        <f>'المحضر النهائي+ ِCode'!B66</f>
        <v>0</v>
      </c>
      <c r="C62" s="103"/>
      <c r="D62" s="104"/>
      <c r="E62" s="105"/>
      <c r="F62" s="104"/>
      <c r="G62" s="106">
        <f>'المحضر النهائي+ ِCode'!C66</f>
        <v>0</v>
      </c>
      <c r="H62" s="106">
        <f>'المحضر النهائي+ ِCode'!D66</f>
        <v>0</v>
      </c>
      <c r="I62" s="106">
        <f t="shared" si="0"/>
        <v>0</v>
      </c>
      <c r="J62" s="123">
        <f>'المحضر النهائي+ ِCode'!F66</f>
        <v>1</v>
      </c>
      <c r="K62" s="110"/>
    </row>
    <row r="63" spans="1:11" ht="18.75" x14ac:dyDescent="0.25">
      <c r="A63" s="103">
        <v>51</v>
      </c>
      <c r="B63" s="103">
        <f>'المحضر النهائي+ ِCode'!B67</f>
        <v>0</v>
      </c>
      <c r="C63" s="103"/>
      <c r="D63" s="104"/>
      <c r="E63" s="105"/>
      <c r="F63" s="104"/>
      <c r="G63" s="106">
        <f>'المحضر النهائي+ ِCode'!C67</f>
        <v>0</v>
      </c>
      <c r="H63" s="106">
        <f>'المحضر النهائي+ ِCode'!D67</f>
        <v>0</v>
      </c>
      <c r="I63" s="106">
        <f t="shared" ref="I63:I101" si="1">AVERAGE(G63:H63)</f>
        <v>0</v>
      </c>
      <c r="J63" s="123">
        <f>'المحضر النهائي+ ِCode'!F67</f>
        <v>1</v>
      </c>
      <c r="K63" s="110"/>
    </row>
    <row r="64" spans="1:11" ht="18.75" x14ac:dyDescent="0.25">
      <c r="A64" s="103">
        <v>52</v>
      </c>
      <c r="B64" s="103" t="e">
        <f>'المحضر النهائي+ ِCode'!#REF!</f>
        <v>#REF!</v>
      </c>
      <c r="C64" s="103"/>
      <c r="D64" s="104"/>
      <c r="E64" s="105"/>
      <c r="F64" s="104"/>
      <c r="G64" s="106" t="e">
        <f>'المحضر النهائي+ ِCode'!#REF!</f>
        <v>#REF!</v>
      </c>
      <c r="H64" s="106" t="e">
        <f>'المحضر النهائي+ ِCode'!#REF!</f>
        <v>#REF!</v>
      </c>
      <c r="I64" s="106" t="e">
        <f t="shared" si="1"/>
        <v>#REF!</v>
      </c>
      <c r="J64" s="123" t="e">
        <f>'المحضر النهائي+ ِCode'!#REF!</f>
        <v>#REF!</v>
      </c>
      <c r="K64" s="110"/>
    </row>
    <row r="65" spans="1:11" ht="18.75" x14ac:dyDescent="0.25">
      <c r="A65" s="103">
        <v>53</v>
      </c>
      <c r="B65" s="103" t="e">
        <f>'المحضر النهائي+ ِCode'!#REF!</f>
        <v>#REF!</v>
      </c>
      <c r="C65" s="103"/>
      <c r="D65" s="104"/>
      <c r="E65" s="105"/>
      <c r="F65" s="104"/>
      <c r="G65" s="106" t="e">
        <f>'المحضر النهائي+ ِCode'!#REF!</f>
        <v>#REF!</v>
      </c>
      <c r="H65" s="106" t="e">
        <f>'المحضر النهائي+ ِCode'!#REF!</f>
        <v>#REF!</v>
      </c>
      <c r="I65" s="106" t="e">
        <f t="shared" si="1"/>
        <v>#REF!</v>
      </c>
      <c r="J65" s="123" t="e">
        <f>'المحضر النهائي+ ِCode'!#REF!</f>
        <v>#REF!</v>
      </c>
      <c r="K65" s="110"/>
    </row>
    <row r="66" spans="1:11" ht="18.75" x14ac:dyDescent="0.25">
      <c r="A66" s="103">
        <v>54</v>
      </c>
      <c r="B66" s="103" t="e">
        <f>'المحضر النهائي+ ِCode'!#REF!</f>
        <v>#REF!</v>
      </c>
      <c r="C66" s="103"/>
      <c r="D66" s="104"/>
      <c r="E66" s="105"/>
      <c r="F66" s="104"/>
      <c r="G66" s="106" t="e">
        <f>'المحضر النهائي+ ِCode'!#REF!</f>
        <v>#REF!</v>
      </c>
      <c r="H66" s="106" t="e">
        <f>'المحضر النهائي+ ِCode'!#REF!</f>
        <v>#REF!</v>
      </c>
      <c r="I66" s="106" t="e">
        <f t="shared" si="1"/>
        <v>#REF!</v>
      </c>
      <c r="J66" s="123" t="e">
        <f>'المحضر النهائي+ ِCode'!#REF!</f>
        <v>#REF!</v>
      </c>
      <c r="K66" s="110"/>
    </row>
    <row r="67" spans="1:11" ht="18.75" x14ac:dyDescent="0.25">
      <c r="A67" s="103">
        <v>55</v>
      </c>
      <c r="B67" s="103" t="e">
        <f>'المحضر النهائي+ ِCode'!#REF!</f>
        <v>#REF!</v>
      </c>
      <c r="C67" s="103"/>
      <c r="D67" s="104"/>
      <c r="E67" s="105"/>
      <c r="F67" s="104"/>
      <c r="G67" s="106" t="e">
        <f>'المحضر النهائي+ ِCode'!#REF!</f>
        <v>#REF!</v>
      </c>
      <c r="H67" s="106" t="e">
        <f>'المحضر النهائي+ ِCode'!#REF!</f>
        <v>#REF!</v>
      </c>
      <c r="I67" s="106" t="e">
        <f t="shared" si="1"/>
        <v>#REF!</v>
      </c>
      <c r="J67" s="123" t="e">
        <f>'المحضر النهائي+ ِCode'!#REF!</f>
        <v>#REF!</v>
      </c>
      <c r="K67" s="110"/>
    </row>
    <row r="68" spans="1:11" ht="18.75" x14ac:dyDescent="0.25">
      <c r="A68" s="103">
        <v>56</v>
      </c>
      <c r="B68" s="103" t="e">
        <f>'المحضر النهائي+ ِCode'!#REF!</f>
        <v>#REF!</v>
      </c>
      <c r="C68" s="103"/>
      <c r="D68" s="104"/>
      <c r="E68" s="105"/>
      <c r="F68" s="104"/>
      <c r="G68" s="106" t="e">
        <f>'المحضر النهائي+ ِCode'!#REF!</f>
        <v>#REF!</v>
      </c>
      <c r="H68" s="106" t="e">
        <f>'المحضر النهائي+ ِCode'!#REF!</f>
        <v>#REF!</v>
      </c>
      <c r="I68" s="106" t="e">
        <f t="shared" si="1"/>
        <v>#REF!</v>
      </c>
      <c r="J68" s="123" t="e">
        <f>'المحضر النهائي+ ِCode'!#REF!</f>
        <v>#REF!</v>
      </c>
      <c r="K68" s="110"/>
    </row>
    <row r="69" spans="1:11" ht="18.75" x14ac:dyDescent="0.25">
      <c r="A69" s="103">
        <v>57</v>
      </c>
      <c r="B69" s="103" t="e">
        <f>'المحضر النهائي+ ِCode'!#REF!</f>
        <v>#REF!</v>
      </c>
      <c r="C69" s="103"/>
      <c r="D69" s="104"/>
      <c r="E69" s="105"/>
      <c r="F69" s="104"/>
      <c r="G69" s="106" t="e">
        <f>'المحضر النهائي+ ِCode'!#REF!</f>
        <v>#REF!</v>
      </c>
      <c r="H69" s="106" t="e">
        <f>'المحضر النهائي+ ِCode'!#REF!</f>
        <v>#REF!</v>
      </c>
      <c r="I69" s="106" t="e">
        <f t="shared" si="1"/>
        <v>#REF!</v>
      </c>
      <c r="J69" s="123" t="e">
        <f>'المحضر النهائي+ ِCode'!#REF!</f>
        <v>#REF!</v>
      </c>
      <c r="K69" s="110"/>
    </row>
    <row r="70" spans="1:11" ht="18.75" x14ac:dyDescent="0.25">
      <c r="A70" s="103">
        <v>58</v>
      </c>
      <c r="B70" s="103" t="e">
        <f>'المحضر النهائي+ ِCode'!#REF!</f>
        <v>#REF!</v>
      </c>
      <c r="C70" s="103"/>
      <c r="D70" s="104"/>
      <c r="E70" s="105"/>
      <c r="F70" s="104"/>
      <c r="G70" s="106" t="e">
        <f>'المحضر النهائي+ ِCode'!#REF!</f>
        <v>#REF!</v>
      </c>
      <c r="H70" s="106" t="e">
        <f>'المحضر النهائي+ ِCode'!#REF!</f>
        <v>#REF!</v>
      </c>
      <c r="I70" s="106" t="e">
        <f t="shared" si="1"/>
        <v>#REF!</v>
      </c>
      <c r="J70" s="123" t="e">
        <f>'المحضر النهائي+ ِCode'!#REF!</f>
        <v>#REF!</v>
      </c>
      <c r="K70" s="110"/>
    </row>
    <row r="71" spans="1:11" ht="18.75" x14ac:dyDescent="0.25">
      <c r="A71" s="103">
        <v>59</v>
      </c>
      <c r="B71" s="103" t="e">
        <f>'المحضر النهائي+ ِCode'!#REF!</f>
        <v>#REF!</v>
      </c>
      <c r="C71" s="103"/>
      <c r="D71" s="104"/>
      <c r="E71" s="105"/>
      <c r="F71" s="104"/>
      <c r="G71" s="106" t="e">
        <f>'المحضر النهائي+ ِCode'!#REF!</f>
        <v>#REF!</v>
      </c>
      <c r="H71" s="106" t="e">
        <f>'المحضر النهائي+ ِCode'!#REF!</f>
        <v>#REF!</v>
      </c>
      <c r="I71" s="106" t="e">
        <f t="shared" si="1"/>
        <v>#REF!</v>
      </c>
      <c r="J71" s="123" t="e">
        <f>'المحضر النهائي+ ِCode'!#REF!</f>
        <v>#REF!</v>
      </c>
      <c r="K71" s="110"/>
    </row>
    <row r="72" spans="1:11" ht="18.75" x14ac:dyDescent="0.25">
      <c r="A72" s="103">
        <v>60</v>
      </c>
      <c r="B72" s="103" t="e">
        <f>'المحضر النهائي+ ِCode'!#REF!</f>
        <v>#REF!</v>
      </c>
      <c r="C72" s="103"/>
      <c r="D72" s="104"/>
      <c r="E72" s="105"/>
      <c r="F72" s="104"/>
      <c r="G72" s="106" t="e">
        <f>'المحضر النهائي+ ِCode'!#REF!</f>
        <v>#REF!</v>
      </c>
      <c r="H72" s="106" t="e">
        <f>'المحضر النهائي+ ِCode'!#REF!</f>
        <v>#REF!</v>
      </c>
      <c r="I72" s="106" t="e">
        <f t="shared" si="1"/>
        <v>#REF!</v>
      </c>
      <c r="J72" s="123" t="e">
        <f>'المحضر النهائي+ ِCode'!#REF!</f>
        <v>#REF!</v>
      </c>
      <c r="K72" s="110"/>
    </row>
    <row r="73" spans="1:11" ht="18.75" x14ac:dyDescent="0.25">
      <c r="A73" s="103">
        <v>61</v>
      </c>
      <c r="B73" s="103" t="e">
        <f>'المحضر النهائي+ ِCode'!#REF!</f>
        <v>#REF!</v>
      </c>
      <c r="C73" s="103"/>
      <c r="D73" s="104"/>
      <c r="E73" s="105"/>
      <c r="F73" s="104"/>
      <c r="G73" s="106" t="e">
        <f>'المحضر النهائي+ ِCode'!#REF!</f>
        <v>#REF!</v>
      </c>
      <c r="H73" s="106" t="e">
        <f>'المحضر النهائي+ ِCode'!#REF!</f>
        <v>#REF!</v>
      </c>
      <c r="I73" s="106" t="e">
        <f t="shared" si="1"/>
        <v>#REF!</v>
      </c>
      <c r="J73" s="123" t="e">
        <f>'المحضر النهائي+ ِCode'!#REF!</f>
        <v>#REF!</v>
      </c>
      <c r="K73" s="110"/>
    </row>
    <row r="74" spans="1:11" ht="18.75" x14ac:dyDescent="0.25">
      <c r="A74" s="103">
        <v>62</v>
      </c>
      <c r="B74" s="103" t="e">
        <f>'المحضر النهائي+ ِCode'!#REF!</f>
        <v>#REF!</v>
      </c>
      <c r="C74" s="103"/>
      <c r="D74" s="104"/>
      <c r="E74" s="105"/>
      <c r="F74" s="104"/>
      <c r="G74" s="106" t="e">
        <f>'المحضر النهائي+ ِCode'!#REF!</f>
        <v>#REF!</v>
      </c>
      <c r="H74" s="106" t="e">
        <f>'المحضر النهائي+ ِCode'!#REF!</f>
        <v>#REF!</v>
      </c>
      <c r="I74" s="106" t="e">
        <f t="shared" si="1"/>
        <v>#REF!</v>
      </c>
      <c r="J74" s="123" t="e">
        <f>'المحضر النهائي+ ِCode'!#REF!</f>
        <v>#REF!</v>
      </c>
      <c r="K74" s="110"/>
    </row>
    <row r="75" spans="1:11" ht="18.75" x14ac:dyDescent="0.25">
      <c r="A75" s="103">
        <v>63</v>
      </c>
      <c r="B75" s="103" t="e">
        <f>'المحضر النهائي+ ِCode'!#REF!</f>
        <v>#REF!</v>
      </c>
      <c r="C75" s="103"/>
      <c r="D75" s="104"/>
      <c r="E75" s="105"/>
      <c r="F75" s="104"/>
      <c r="G75" s="106" t="e">
        <f>'المحضر النهائي+ ِCode'!#REF!</f>
        <v>#REF!</v>
      </c>
      <c r="H75" s="106" t="e">
        <f>'المحضر النهائي+ ِCode'!#REF!</f>
        <v>#REF!</v>
      </c>
      <c r="I75" s="106" t="e">
        <f t="shared" si="1"/>
        <v>#REF!</v>
      </c>
      <c r="J75" s="123" t="e">
        <f>'المحضر النهائي+ ِCode'!#REF!</f>
        <v>#REF!</v>
      </c>
      <c r="K75" s="110"/>
    </row>
    <row r="76" spans="1:11" ht="18.75" x14ac:dyDescent="0.25">
      <c r="A76" s="103">
        <v>64</v>
      </c>
      <c r="B76" s="103" t="e">
        <f>'المحضر النهائي+ ِCode'!#REF!</f>
        <v>#REF!</v>
      </c>
      <c r="C76" s="103"/>
      <c r="D76" s="104"/>
      <c r="E76" s="105"/>
      <c r="F76" s="104"/>
      <c r="G76" s="106" t="e">
        <f>'المحضر النهائي+ ِCode'!#REF!</f>
        <v>#REF!</v>
      </c>
      <c r="H76" s="106" t="e">
        <f>'المحضر النهائي+ ِCode'!#REF!</f>
        <v>#REF!</v>
      </c>
      <c r="I76" s="106" t="e">
        <f t="shared" si="1"/>
        <v>#REF!</v>
      </c>
      <c r="J76" s="123" t="e">
        <f>'المحضر النهائي+ ِCode'!#REF!</f>
        <v>#REF!</v>
      </c>
      <c r="K76" s="110"/>
    </row>
    <row r="77" spans="1:11" ht="18.75" x14ac:dyDescent="0.25">
      <c r="A77" s="103">
        <v>65</v>
      </c>
      <c r="B77" s="103" t="e">
        <f>'المحضر النهائي+ ِCode'!#REF!</f>
        <v>#REF!</v>
      </c>
      <c r="C77" s="103"/>
      <c r="D77" s="104"/>
      <c r="E77" s="105"/>
      <c r="F77" s="104"/>
      <c r="G77" s="106" t="e">
        <f>'المحضر النهائي+ ِCode'!#REF!</f>
        <v>#REF!</v>
      </c>
      <c r="H77" s="106" t="e">
        <f>'المحضر النهائي+ ِCode'!#REF!</f>
        <v>#REF!</v>
      </c>
      <c r="I77" s="106" t="e">
        <f t="shared" si="1"/>
        <v>#REF!</v>
      </c>
      <c r="J77" s="123" t="e">
        <f>'المحضر النهائي+ ِCode'!#REF!</f>
        <v>#REF!</v>
      </c>
      <c r="K77" s="110"/>
    </row>
    <row r="78" spans="1:11" ht="18.75" x14ac:dyDescent="0.25">
      <c r="A78" s="103">
        <v>66</v>
      </c>
      <c r="B78" s="103" t="e">
        <f>'المحضر النهائي+ ِCode'!#REF!</f>
        <v>#REF!</v>
      </c>
      <c r="C78" s="103"/>
      <c r="D78" s="104"/>
      <c r="E78" s="105"/>
      <c r="F78" s="104"/>
      <c r="G78" s="106" t="e">
        <f>'المحضر النهائي+ ِCode'!#REF!</f>
        <v>#REF!</v>
      </c>
      <c r="H78" s="106" t="e">
        <f>'المحضر النهائي+ ِCode'!#REF!</f>
        <v>#REF!</v>
      </c>
      <c r="I78" s="106" t="e">
        <f t="shared" si="1"/>
        <v>#REF!</v>
      </c>
      <c r="J78" s="123" t="e">
        <f>'المحضر النهائي+ ِCode'!#REF!</f>
        <v>#REF!</v>
      </c>
      <c r="K78" s="110"/>
    </row>
    <row r="79" spans="1:11" ht="18.75" x14ac:dyDescent="0.25">
      <c r="A79" s="103">
        <v>67</v>
      </c>
      <c r="B79" s="103" t="e">
        <f>'المحضر النهائي+ ِCode'!#REF!</f>
        <v>#REF!</v>
      </c>
      <c r="C79" s="103"/>
      <c r="D79" s="104"/>
      <c r="E79" s="105"/>
      <c r="F79" s="104"/>
      <c r="G79" s="106" t="e">
        <f>'المحضر النهائي+ ِCode'!#REF!</f>
        <v>#REF!</v>
      </c>
      <c r="H79" s="106" t="e">
        <f>'المحضر النهائي+ ِCode'!#REF!</f>
        <v>#REF!</v>
      </c>
      <c r="I79" s="106" t="e">
        <f t="shared" si="1"/>
        <v>#REF!</v>
      </c>
      <c r="J79" s="123" t="e">
        <f>'المحضر النهائي+ ِCode'!#REF!</f>
        <v>#REF!</v>
      </c>
      <c r="K79" s="110"/>
    </row>
    <row r="80" spans="1:11" ht="18.75" x14ac:dyDescent="0.25">
      <c r="A80" s="103">
        <v>68</v>
      </c>
      <c r="B80" s="103" t="e">
        <f>'المحضر النهائي+ ِCode'!#REF!</f>
        <v>#REF!</v>
      </c>
      <c r="C80" s="103"/>
      <c r="D80" s="104"/>
      <c r="E80" s="105"/>
      <c r="F80" s="104"/>
      <c r="G80" s="106" t="e">
        <f>'المحضر النهائي+ ِCode'!#REF!</f>
        <v>#REF!</v>
      </c>
      <c r="H80" s="106" t="e">
        <f>'المحضر النهائي+ ِCode'!#REF!</f>
        <v>#REF!</v>
      </c>
      <c r="I80" s="106" t="e">
        <f t="shared" si="1"/>
        <v>#REF!</v>
      </c>
      <c r="J80" s="123" t="e">
        <f>'المحضر النهائي+ ِCode'!#REF!</f>
        <v>#REF!</v>
      </c>
      <c r="K80" s="110"/>
    </row>
    <row r="81" spans="1:11" ht="18.75" x14ac:dyDescent="0.25">
      <c r="A81" s="103">
        <v>69</v>
      </c>
      <c r="B81" s="103" t="e">
        <f>'المحضر النهائي+ ِCode'!#REF!</f>
        <v>#REF!</v>
      </c>
      <c r="C81" s="103"/>
      <c r="D81" s="104"/>
      <c r="E81" s="105"/>
      <c r="F81" s="104"/>
      <c r="G81" s="106" t="e">
        <f>'المحضر النهائي+ ِCode'!#REF!</f>
        <v>#REF!</v>
      </c>
      <c r="H81" s="106" t="e">
        <f>'المحضر النهائي+ ِCode'!#REF!</f>
        <v>#REF!</v>
      </c>
      <c r="I81" s="106" t="e">
        <f t="shared" si="1"/>
        <v>#REF!</v>
      </c>
      <c r="J81" s="123" t="e">
        <f>'المحضر النهائي+ ِCode'!#REF!</f>
        <v>#REF!</v>
      </c>
      <c r="K81" s="110"/>
    </row>
    <row r="82" spans="1:11" ht="18.75" x14ac:dyDescent="0.25">
      <c r="A82" s="103">
        <v>70</v>
      </c>
      <c r="B82" s="103" t="e">
        <f>'المحضر النهائي+ ِCode'!#REF!</f>
        <v>#REF!</v>
      </c>
      <c r="C82" s="103"/>
      <c r="D82" s="104"/>
      <c r="E82" s="105"/>
      <c r="F82" s="104"/>
      <c r="G82" s="106" t="e">
        <f>'المحضر النهائي+ ِCode'!#REF!</f>
        <v>#REF!</v>
      </c>
      <c r="H82" s="106" t="e">
        <f>'المحضر النهائي+ ِCode'!#REF!</f>
        <v>#REF!</v>
      </c>
      <c r="I82" s="106" t="e">
        <f t="shared" si="1"/>
        <v>#REF!</v>
      </c>
      <c r="J82" s="123" t="e">
        <f>'المحضر النهائي+ ِCode'!#REF!</f>
        <v>#REF!</v>
      </c>
      <c r="K82" s="110"/>
    </row>
    <row r="83" spans="1:11" ht="18.75" x14ac:dyDescent="0.25">
      <c r="A83" s="103">
        <v>71</v>
      </c>
      <c r="B83" s="103" t="e">
        <f>'المحضر النهائي+ ِCode'!#REF!</f>
        <v>#REF!</v>
      </c>
      <c r="C83" s="103"/>
      <c r="D83" s="104"/>
      <c r="E83" s="105"/>
      <c r="F83" s="104"/>
      <c r="G83" s="106" t="e">
        <f>'المحضر النهائي+ ِCode'!#REF!</f>
        <v>#REF!</v>
      </c>
      <c r="H83" s="106" t="e">
        <f>'المحضر النهائي+ ِCode'!#REF!</f>
        <v>#REF!</v>
      </c>
      <c r="I83" s="106" t="e">
        <f t="shared" si="1"/>
        <v>#REF!</v>
      </c>
      <c r="J83" s="123" t="e">
        <f>'المحضر النهائي+ ِCode'!#REF!</f>
        <v>#REF!</v>
      </c>
      <c r="K83" s="110"/>
    </row>
    <row r="84" spans="1:11" ht="18.75" x14ac:dyDescent="0.25">
      <c r="A84" s="103">
        <v>72</v>
      </c>
      <c r="B84" s="103" t="e">
        <f>'المحضر النهائي+ ِCode'!#REF!</f>
        <v>#REF!</v>
      </c>
      <c r="C84" s="103"/>
      <c r="D84" s="104"/>
      <c r="E84" s="105"/>
      <c r="F84" s="104"/>
      <c r="G84" s="106" t="e">
        <f>'المحضر النهائي+ ِCode'!#REF!</f>
        <v>#REF!</v>
      </c>
      <c r="H84" s="106" t="e">
        <f>'المحضر النهائي+ ِCode'!#REF!</f>
        <v>#REF!</v>
      </c>
      <c r="I84" s="106" t="e">
        <f t="shared" si="1"/>
        <v>#REF!</v>
      </c>
      <c r="J84" s="123" t="e">
        <f>'المحضر النهائي+ ِCode'!#REF!</f>
        <v>#REF!</v>
      </c>
      <c r="K84" s="110"/>
    </row>
    <row r="85" spans="1:11" ht="18.75" x14ac:dyDescent="0.25">
      <c r="A85" s="103">
        <v>73</v>
      </c>
      <c r="B85" s="103" t="e">
        <f>'المحضر النهائي+ ِCode'!#REF!</f>
        <v>#REF!</v>
      </c>
      <c r="C85" s="103"/>
      <c r="D85" s="104"/>
      <c r="E85" s="105"/>
      <c r="F85" s="104"/>
      <c r="G85" s="106" t="e">
        <f>'المحضر النهائي+ ِCode'!#REF!</f>
        <v>#REF!</v>
      </c>
      <c r="H85" s="106" t="e">
        <f>'المحضر النهائي+ ِCode'!#REF!</f>
        <v>#REF!</v>
      </c>
      <c r="I85" s="106" t="e">
        <f t="shared" si="1"/>
        <v>#REF!</v>
      </c>
      <c r="J85" s="123" t="e">
        <f>'المحضر النهائي+ ِCode'!#REF!</f>
        <v>#REF!</v>
      </c>
      <c r="K85" s="110"/>
    </row>
    <row r="86" spans="1:11" ht="18.75" x14ac:dyDescent="0.25">
      <c r="A86" s="103">
        <v>74</v>
      </c>
      <c r="B86" s="103" t="e">
        <f>'المحضر النهائي+ ِCode'!#REF!</f>
        <v>#REF!</v>
      </c>
      <c r="C86" s="103"/>
      <c r="D86" s="104"/>
      <c r="E86" s="105"/>
      <c r="F86" s="104"/>
      <c r="G86" s="106" t="e">
        <f>'المحضر النهائي+ ِCode'!#REF!</f>
        <v>#REF!</v>
      </c>
      <c r="H86" s="106" t="e">
        <f>'المحضر النهائي+ ِCode'!#REF!</f>
        <v>#REF!</v>
      </c>
      <c r="I86" s="106" t="e">
        <f t="shared" si="1"/>
        <v>#REF!</v>
      </c>
      <c r="J86" s="123" t="e">
        <f>'المحضر النهائي+ ِCode'!#REF!</f>
        <v>#REF!</v>
      </c>
      <c r="K86" s="110"/>
    </row>
    <row r="87" spans="1:11" ht="18.75" x14ac:dyDescent="0.25">
      <c r="A87" s="103">
        <v>75</v>
      </c>
      <c r="B87" s="103" t="e">
        <f>'المحضر النهائي+ ِCode'!#REF!</f>
        <v>#REF!</v>
      </c>
      <c r="C87" s="103"/>
      <c r="D87" s="104"/>
      <c r="E87" s="105"/>
      <c r="F87" s="104"/>
      <c r="G87" s="106" t="e">
        <f>'المحضر النهائي+ ِCode'!#REF!</f>
        <v>#REF!</v>
      </c>
      <c r="H87" s="106" t="e">
        <f>'المحضر النهائي+ ِCode'!#REF!</f>
        <v>#REF!</v>
      </c>
      <c r="I87" s="106" t="e">
        <f t="shared" si="1"/>
        <v>#REF!</v>
      </c>
      <c r="J87" s="123" t="e">
        <f>'المحضر النهائي+ ِCode'!#REF!</f>
        <v>#REF!</v>
      </c>
      <c r="K87" s="110"/>
    </row>
    <row r="88" spans="1:11" ht="18.75" x14ac:dyDescent="0.25">
      <c r="A88" s="103">
        <v>76</v>
      </c>
      <c r="B88" s="103" t="e">
        <f>'المحضر النهائي+ ِCode'!#REF!</f>
        <v>#REF!</v>
      </c>
      <c r="C88" s="103"/>
      <c r="D88" s="104"/>
      <c r="E88" s="105"/>
      <c r="F88" s="104"/>
      <c r="G88" s="106" t="e">
        <f>'المحضر النهائي+ ِCode'!#REF!</f>
        <v>#REF!</v>
      </c>
      <c r="H88" s="106" t="e">
        <f>'المحضر النهائي+ ِCode'!#REF!</f>
        <v>#REF!</v>
      </c>
      <c r="I88" s="106" t="e">
        <f t="shared" si="1"/>
        <v>#REF!</v>
      </c>
      <c r="J88" s="123" t="e">
        <f>'المحضر النهائي+ ِCode'!#REF!</f>
        <v>#REF!</v>
      </c>
      <c r="K88" s="110"/>
    </row>
    <row r="89" spans="1:11" ht="18.75" x14ac:dyDescent="0.25">
      <c r="A89" s="103">
        <v>77</v>
      </c>
      <c r="B89" s="103" t="e">
        <f>'المحضر النهائي+ ِCode'!#REF!</f>
        <v>#REF!</v>
      </c>
      <c r="C89" s="103"/>
      <c r="D89" s="104"/>
      <c r="E89" s="105"/>
      <c r="F89" s="104"/>
      <c r="G89" s="106" t="e">
        <f>'المحضر النهائي+ ِCode'!#REF!</f>
        <v>#REF!</v>
      </c>
      <c r="H89" s="106" t="e">
        <f>'المحضر النهائي+ ِCode'!#REF!</f>
        <v>#REF!</v>
      </c>
      <c r="I89" s="106" t="e">
        <f t="shared" si="1"/>
        <v>#REF!</v>
      </c>
      <c r="J89" s="123" t="e">
        <f>'المحضر النهائي+ ِCode'!#REF!</f>
        <v>#REF!</v>
      </c>
      <c r="K89" s="110"/>
    </row>
    <row r="90" spans="1:11" ht="18.75" x14ac:dyDescent="0.25">
      <c r="A90" s="103">
        <v>78</v>
      </c>
      <c r="B90" s="103" t="e">
        <f>'المحضر النهائي+ ِCode'!#REF!</f>
        <v>#REF!</v>
      </c>
      <c r="C90" s="103"/>
      <c r="D90" s="104"/>
      <c r="E90" s="105"/>
      <c r="F90" s="104"/>
      <c r="G90" s="106" t="e">
        <f>'المحضر النهائي+ ِCode'!#REF!</f>
        <v>#REF!</v>
      </c>
      <c r="H90" s="106" t="e">
        <f>'المحضر النهائي+ ِCode'!#REF!</f>
        <v>#REF!</v>
      </c>
      <c r="I90" s="106" t="e">
        <f t="shared" si="1"/>
        <v>#REF!</v>
      </c>
      <c r="J90" s="123" t="e">
        <f>'المحضر النهائي+ ِCode'!#REF!</f>
        <v>#REF!</v>
      </c>
      <c r="K90" s="110"/>
    </row>
    <row r="91" spans="1:11" ht="18.75" x14ac:dyDescent="0.25">
      <c r="A91" s="103">
        <v>79</v>
      </c>
      <c r="B91" s="103" t="e">
        <f>'المحضر النهائي+ ِCode'!#REF!</f>
        <v>#REF!</v>
      </c>
      <c r="C91" s="103"/>
      <c r="D91" s="104"/>
      <c r="E91" s="105"/>
      <c r="F91" s="104"/>
      <c r="G91" s="106" t="e">
        <f>'المحضر النهائي+ ِCode'!#REF!</f>
        <v>#REF!</v>
      </c>
      <c r="H91" s="106" t="e">
        <f>'المحضر النهائي+ ِCode'!#REF!</f>
        <v>#REF!</v>
      </c>
      <c r="I91" s="106" t="e">
        <f t="shared" si="1"/>
        <v>#REF!</v>
      </c>
      <c r="J91" s="123" t="e">
        <f>'المحضر النهائي+ ِCode'!#REF!</f>
        <v>#REF!</v>
      </c>
      <c r="K91" s="110"/>
    </row>
    <row r="92" spans="1:11" ht="18.75" x14ac:dyDescent="0.25">
      <c r="A92" s="103">
        <v>80</v>
      </c>
      <c r="B92" s="103" t="e">
        <f>'المحضر النهائي+ ِCode'!#REF!</f>
        <v>#REF!</v>
      </c>
      <c r="C92" s="103"/>
      <c r="D92" s="104"/>
      <c r="E92" s="105"/>
      <c r="F92" s="104"/>
      <c r="G92" s="106" t="e">
        <f>'المحضر النهائي+ ِCode'!#REF!</f>
        <v>#REF!</v>
      </c>
      <c r="H92" s="106" t="e">
        <f>'المحضر النهائي+ ِCode'!#REF!</f>
        <v>#REF!</v>
      </c>
      <c r="I92" s="106" t="e">
        <f t="shared" si="1"/>
        <v>#REF!</v>
      </c>
      <c r="J92" s="123" t="e">
        <f>'المحضر النهائي+ ِCode'!#REF!</f>
        <v>#REF!</v>
      </c>
      <c r="K92" s="110"/>
    </row>
    <row r="93" spans="1:11" ht="18.75" x14ac:dyDescent="0.25">
      <c r="A93" s="103">
        <v>81</v>
      </c>
      <c r="B93" s="103" t="e">
        <f>'المحضر النهائي+ ِCode'!#REF!</f>
        <v>#REF!</v>
      </c>
      <c r="C93" s="103"/>
      <c r="D93" s="104"/>
      <c r="E93" s="105"/>
      <c r="F93" s="104"/>
      <c r="G93" s="106" t="e">
        <f>'المحضر النهائي+ ِCode'!#REF!</f>
        <v>#REF!</v>
      </c>
      <c r="H93" s="106" t="e">
        <f>'المحضر النهائي+ ِCode'!#REF!</f>
        <v>#REF!</v>
      </c>
      <c r="I93" s="106" t="e">
        <f t="shared" si="1"/>
        <v>#REF!</v>
      </c>
      <c r="J93" s="123" t="e">
        <f>'المحضر النهائي+ ِCode'!#REF!</f>
        <v>#REF!</v>
      </c>
      <c r="K93" s="110"/>
    </row>
    <row r="94" spans="1:11" ht="18.75" x14ac:dyDescent="0.25">
      <c r="A94" s="103">
        <v>82</v>
      </c>
      <c r="B94" s="103" t="e">
        <f>'المحضر النهائي+ ِCode'!#REF!</f>
        <v>#REF!</v>
      </c>
      <c r="C94" s="103"/>
      <c r="D94" s="104"/>
      <c r="E94" s="105"/>
      <c r="F94" s="104"/>
      <c r="G94" s="106" t="e">
        <f>'المحضر النهائي+ ِCode'!#REF!</f>
        <v>#REF!</v>
      </c>
      <c r="H94" s="106" t="e">
        <f>'المحضر النهائي+ ِCode'!#REF!</f>
        <v>#REF!</v>
      </c>
      <c r="I94" s="106" t="e">
        <f t="shared" si="1"/>
        <v>#REF!</v>
      </c>
      <c r="J94" s="123" t="e">
        <f>'المحضر النهائي+ ِCode'!#REF!</f>
        <v>#REF!</v>
      </c>
      <c r="K94" s="110"/>
    </row>
    <row r="95" spans="1:11" ht="18.75" x14ac:dyDescent="0.25">
      <c r="A95" s="103">
        <v>83</v>
      </c>
      <c r="B95" s="103" t="e">
        <f>'المحضر النهائي+ ِCode'!#REF!</f>
        <v>#REF!</v>
      </c>
      <c r="C95" s="103"/>
      <c r="D95" s="104"/>
      <c r="E95" s="105"/>
      <c r="F95" s="104"/>
      <c r="G95" s="106" t="e">
        <f>'المحضر النهائي+ ِCode'!#REF!</f>
        <v>#REF!</v>
      </c>
      <c r="H95" s="106" t="e">
        <f>'المحضر النهائي+ ِCode'!#REF!</f>
        <v>#REF!</v>
      </c>
      <c r="I95" s="106" t="e">
        <f t="shared" si="1"/>
        <v>#REF!</v>
      </c>
      <c r="J95" s="123" t="e">
        <f>'المحضر النهائي+ ِCode'!#REF!</f>
        <v>#REF!</v>
      </c>
      <c r="K95" s="110"/>
    </row>
    <row r="96" spans="1:11" ht="18.75" x14ac:dyDescent="0.25">
      <c r="A96" s="103">
        <v>84</v>
      </c>
      <c r="B96" s="103" t="e">
        <f>'المحضر النهائي+ ِCode'!#REF!</f>
        <v>#REF!</v>
      </c>
      <c r="C96" s="103"/>
      <c r="D96" s="104"/>
      <c r="E96" s="105"/>
      <c r="F96" s="104"/>
      <c r="G96" s="106" t="e">
        <f>'المحضر النهائي+ ِCode'!#REF!</f>
        <v>#REF!</v>
      </c>
      <c r="H96" s="106" t="e">
        <f>'المحضر النهائي+ ِCode'!#REF!</f>
        <v>#REF!</v>
      </c>
      <c r="I96" s="106" t="e">
        <f t="shared" si="1"/>
        <v>#REF!</v>
      </c>
      <c r="J96" s="123" t="e">
        <f>'المحضر النهائي+ ِCode'!#REF!</f>
        <v>#REF!</v>
      </c>
      <c r="K96" s="110"/>
    </row>
    <row r="97" spans="1:11" ht="18.75" x14ac:dyDescent="0.25">
      <c r="A97" s="103">
        <v>85</v>
      </c>
      <c r="B97" s="103" t="e">
        <f>'المحضر النهائي+ ِCode'!#REF!</f>
        <v>#REF!</v>
      </c>
      <c r="C97" s="103"/>
      <c r="D97" s="104"/>
      <c r="E97" s="105"/>
      <c r="F97" s="104"/>
      <c r="G97" s="106" t="e">
        <f>'المحضر النهائي+ ِCode'!#REF!</f>
        <v>#REF!</v>
      </c>
      <c r="H97" s="106" t="e">
        <f>'المحضر النهائي+ ِCode'!#REF!</f>
        <v>#REF!</v>
      </c>
      <c r="I97" s="106" t="e">
        <f t="shared" si="1"/>
        <v>#REF!</v>
      </c>
      <c r="J97" s="123" t="e">
        <f>'المحضر النهائي+ ِCode'!#REF!</f>
        <v>#REF!</v>
      </c>
      <c r="K97" s="110"/>
    </row>
    <row r="98" spans="1:11" ht="18.75" x14ac:dyDescent="0.25">
      <c r="A98" s="103">
        <v>86</v>
      </c>
      <c r="B98" s="103" t="e">
        <f>'المحضر النهائي+ ِCode'!#REF!</f>
        <v>#REF!</v>
      </c>
      <c r="C98" s="103"/>
      <c r="D98" s="104"/>
      <c r="E98" s="105"/>
      <c r="F98" s="104"/>
      <c r="G98" s="106" t="e">
        <f>'المحضر النهائي+ ِCode'!#REF!</f>
        <v>#REF!</v>
      </c>
      <c r="H98" s="106" t="e">
        <f>'المحضر النهائي+ ِCode'!#REF!</f>
        <v>#REF!</v>
      </c>
      <c r="I98" s="106" t="e">
        <f t="shared" si="1"/>
        <v>#REF!</v>
      </c>
      <c r="J98" s="123" t="e">
        <f>'المحضر النهائي+ ِCode'!#REF!</f>
        <v>#REF!</v>
      </c>
      <c r="K98" s="110"/>
    </row>
    <row r="99" spans="1:11" ht="18.75" x14ac:dyDescent="0.25">
      <c r="A99" s="103">
        <v>87</v>
      </c>
      <c r="B99" s="103" t="e">
        <f>'المحضر النهائي+ ِCode'!#REF!</f>
        <v>#REF!</v>
      </c>
      <c r="C99" s="103"/>
      <c r="D99" s="104"/>
      <c r="E99" s="105"/>
      <c r="F99" s="104"/>
      <c r="G99" s="106" t="e">
        <f>'المحضر النهائي+ ِCode'!#REF!</f>
        <v>#REF!</v>
      </c>
      <c r="H99" s="106" t="e">
        <f>'المحضر النهائي+ ِCode'!#REF!</f>
        <v>#REF!</v>
      </c>
      <c r="I99" s="106" t="e">
        <f t="shared" si="1"/>
        <v>#REF!</v>
      </c>
      <c r="J99" s="123" t="e">
        <f>'المحضر النهائي+ ِCode'!#REF!</f>
        <v>#REF!</v>
      </c>
      <c r="K99" s="110"/>
    </row>
    <row r="100" spans="1:11" ht="18.75" x14ac:dyDescent="0.25">
      <c r="A100" s="103">
        <v>88</v>
      </c>
      <c r="B100" s="103" t="e">
        <f>'المحضر النهائي+ ِCode'!#REF!</f>
        <v>#REF!</v>
      </c>
      <c r="C100" s="103"/>
      <c r="D100" s="104"/>
      <c r="E100" s="105"/>
      <c r="F100" s="104"/>
      <c r="G100" s="106" t="e">
        <f>'المحضر النهائي+ ِCode'!#REF!</f>
        <v>#REF!</v>
      </c>
      <c r="H100" s="106" t="e">
        <f>'المحضر النهائي+ ِCode'!#REF!</f>
        <v>#REF!</v>
      </c>
      <c r="I100" s="106" t="e">
        <f t="shared" si="1"/>
        <v>#REF!</v>
      </c>
      <c r="J100" s="123" t="e">
        <f>'المحضر النهائي+ ِCode'!#REF!</f>
        <v>#REF!</v>
      </c>
      <c r="K100" s="110"/>
    </row>
    <row r="101" spans="1:11" ht="18.75" x14ac:dyDescent="0.25">
      <c r="A101" s="103">
        <v>89</v>
      </c>
      <c r="B101" s="103" t="e">
        <f>'المحضر النهائي+ ِCode'!#REF!</f>
        <v>#REF!</v>
      </c>
      <c r="C101" s="103"/>
      <c r="D101" s="104"/>
      <c r="E101" s="105"/>
      <c r="F101" s="104"/>
      <c r="G101" s="106" t="e">
        <f>'المحضر النهائي+ ِCode'!#REF!</f>
        <v>#REF!</v>
      </c>
      <c r="H101" s="106" t="e">
        <f>'المحضر النهائي+ ِCode'!#REF!</f>
        <v>#REF!</v>
      </c>
      <c r="I101" s="106" t="e">
        <f t="shared" si="1"/>
        <v>#REF!</v>
      </c>
      <c r="J101" s="123" t="e">
        <f>'المحضر النهائي+ ِCode'!#REF!</f>
        <v>#REF!</v>
      </c>
      <c r="K101" s="110"/>
    </row>
    <row r="102" spans="1:11" ht="18.75" x14ac:dyDescent="0.25">
      <c r="A102" s="103">
        <v>90</v>
      </c>
      <c r="B102" s="103" t="e">
        <f>'المحضر النهائي+ ِCode'!#REF!</f>
        <v>#REF!</v>
      </c>
      <c r="C102" s="103"/>
      <c r="D102" s="104"/>
      <c r="E102" s="105"/>
      <c r="F102" s="104"/>
      <c r="G102" s="106" t="e">
        <f>'المحضر النهائي+ ِCode'!#REF!</f>
        <v>#REF!</v>
      </c>
      <c r="H102" s="106" t="e">
        <f>'المحضر النهائي+ ِCode'!#REF!</f>
        <v>#REF!</v>
      </c>
      <c r="I102" s="106" t="e">
        <f t="shared" ref="I102:I108" si="2">AVERAGE(G102:H102)</f>
        <v>#REF!</v>
      </c>
      <c r="J102" s="123" t="e">
        <f>'المحضر النهائي+ ِCode'!#REF!</f>
        <v>#REF!</v>
      </c>
      <c r="K102" s="110"/>
    </row>
    <row r="103" spans="1:11" ht="18.75" x14ac:dyDescent="0.25">
      <c r="A103" s="103">
        <v>91</v>
      </c>
      <c r="B103" s="103" t="e">
        <f>'المحضر النهائي+ ِCode'!#REF!</f>
        <v>#REF!</v>
      </c>
      <c r="C103" s="103"/>
      <c r="D103" s="104"/>
      <c r="E103" s="105"/>
      <c r="F103" s="104"/>
      <c r="G103" s="106" t="e">
        <f>'المحضر النهائي+ ِCode'!#REF!</f>
        <v>#REF!</v>
      </c>
      <c r="H103" s="106" t="e">
        <f>'المحضر النهائي+ ِCode'!#REF!</f>
        <v>#REF!</v>
      </c>
      <c r="I103" s="106" t="e">
        <f t="shared" si="2"/>
        <v>#REF!</v>
      </c>
      <c r="J103" s="123" t="e">
        <f>'المحضر النهائي+ ِCode'!#REF!</f>
        <v>#REF!</v>
      </c>
      <c r="K103" s="110"/>
    </row>
    <row r="104" spans="1:11" ht="18.75" x14ac:dyDescent="0.25">
      <c r="A104" s="103">
        <v>92</v>
      </c>
      <c r="B104" s="103" t="e">
        <f>'المحضر النهائي+ ِCode'!#REF!</f>
        <v>#REF!</v>
      </c>
      <c r="C104" s="103"/>
      <c r="D104" s="104"/>
      <c r="E104" s="105"/>
      <c r="F104" s="104"/>
      <c r="G104" s="106" t="e">
        <f>'المحضر النهائي+ ِCode'!#REF!</f>
        <v>#REF!</v>
      </c>
      <c r="H104" s="106" t="e">
        <f>'المحضر النهائي+ ِCode'!#REF!</f>
        <v>#REF!</v>
      </c>
      <c r="I104" s="106" t="e">
        <f t="shared" si="2"/>
        <v>#REF!</v>
      </c>
      <c r="J104" s="123" t="e">
        <f>'المحضر النهائي+ ِCode'!#REF!</f>
        <v>#REF!</v>
      </c>
      <c r="K104" s="110"/>
    </row>
    <row r="105" spans="1:11" ht="18.75" x14ac:dyDescent="0.25">
      <c r="A105" s="103">
        <v>93</v>
      </c>
      <c r="B105" s="103" t="e">
        <f>'المحضر النهائي+ ِCode'!#REF!</f>
        <v>#REF!</v>
      </c>
      <c r="C105" s="103"/>
      <c r="D105" s="104"/>
      <c r="E105" s="105"/>
      <c r="F105" s="104"/>
      <c r="G105" s="106" t="e">
        <f>'المحضر النهائي+ ِCode'!#REF!</f>
        <v>#REF!</v>
      </c>
      <c r="H105" s="106" t="e">
        <f>'المحضر النهائي+ ِCode'!#REF!</f>
        <v>#REF!</v>
      </c>
      <c r="I105" s="106" t="e">
        <f t="shared" si="2"/>
        <v>#REF!</v>
      </c>
      <c r="J105" s="123" t="e">
        <f>'المحضر النهائي+ ِCode'!#REF!</f>
        <v>#REF!</v>
      </c>
      <c r="K105" s="110"/>
    </row>
    <row r="106" spans="1:11" ht="18.75" x14ac:dyDescent="0.25">
      <c r="A106" s="103">
        <v>94</v>
      </c>
      <c r="B106" s="103" t="e">
        <f>'المحضر النهائي+ ِCode'!#REF!</f>
        <v>#REF!</v>
      </c>
      <c r="C106" s="103"/>
      <c r="D106" s="104"/>
      <c r="E106" s="105"/>
      <c r="F106" s="104"/>
      <c r="G106" s="106" t="e">
        <f>'المحضر النهائي+ ِCode'!#REF!</f>
        <v>#REF!</v>
      </c>
      <c r="H106" s="106" t="e">
        <f>'المحضر النهائي+ ِCode'!#REF!</f>
        <v>#REF!</v>
      </c>
      <c r="I106" s="106" t="e">
        <f t="shared" si="2"/>
        <v>#REF!</v>
      </c>
      <c r="J106" s="123" t="e">
        <f>'المحضر النهائي+ ِCode'!#REF!</f>
        <v>#REF!</v>
      </c>
      <c r="K106" s="110"/>
    </row>
    <row r="107" spans="1:11" ht="18.75" x14ac:dyDescent="0.25">
      <c r="A107" s="103">
        <v>95</v>
      </c>
      <c r="B107" s="103" t="e">
        <f>'المحضر النهائي+ ِCode'!#REF!</f>
        <v>#REF!</v>
      </c>
      <c r="C107" s="103"/>
      <c r="D107" s="104"/>
      <c r="E107" s="105"/>
      <c r="F107" s="104"/>
      <c r="G107" s="106" t="e">
        <f>'المحضر النهائي+ ِCode'!#REF!</f>
        <v>#REF!</v>
      </c>
      <c r="H107" s="106" t="e">
        <f>'المحضر النهائي+ ِCode'!#REF!</f>
        <v>#REF!</v>
      </c>
      <c r="I107" s="106" t="e">
        <f t="shared" si="2"/>
        <v>#REF!</v>
      </c>
      <c r="J107" s="123" t="e">
        <f>'المحضر النهائي+ ِCode'!#REF!</f>
        <v>#REF!</v>
      </c>
      <c r="K107" s="110"/>
    </row>
    <row r="108" spans="1:11" ht="18.75" x14ac:dyDescent="0.25">
      <c r="A108" s="103">
        <v>96</v>
      </c>
      <c r="B108" s="103" t="e">
        <f>'المحضر النهائي+ ِCode'!#REF!</f>
        <v>#REF!</v>
      </c>
      <c r="C108" s="103"/>
      <c r="D108" s="104"/>
      <c r="E108" s="105"/>
      <c r="F108" s="104"/>
      <c r="G108" s="106" t="e">
        <f>'المحضر النهائي+ ِCode'!#REF!</f>
        <v>#REF!</v>
      </c>
      <c r="H108" s="106" t="e">
        <f>'المحضر النهائي+ ِCode'!#REF!</f>
        <v>#REF!</v>
      </c>
      <c r="I108" s="106" t="e">
        <f t="shared" si="2"/>
        <v>#REF!</v>
      </c>
      <c r="J108" s="123" t="e">
        <f>'المحضر النهائي+ ِCode'!#REF!</f>
        <v>#REF!</v>
      </c>
      <c r="K108" s="110"/>
    </row>
    <row r="109" spans="1:11" ht="18.75" x14ac:dyDescent="0.25">
      <c r="A109" s="103">
        <v>97</v>
      </c>
      <c r="B109" s="103" t="e">
        <f>'المحضر النهائي+ ِCode'!#REF!</f>
        <v>#REF!</v>
      </c>
      <c r="C109" s="103"/>
      <c r="D109" s="104"/>
      <c r="E109" s="105"/>
      <c r="F109" s="104"/>
      <c r="G109" s="106" t="e">
        <f>'المحضر النهائي+ ِCode'!#REF!</f>
        <v>#REF!</v>
      </c>
      <c r="H109" s="106" t="e">
        <f>'المحضر النهائي+ ِCode'!#REF!</f>
        <v>#REF!</v>
      </c>
      <c r="I109" s="106" t="e">
        <f t="shared" ref="I109:I112" si="3">AVERAGE(G109:H109)</f>
        <v>#REF!</v>
      </c>
      <c r="J109" s="123" t="e">
        <f>'المحضر النهائي+ ِCode'!#REF!</f>
        <v>#REF!</v>
      </c>
      <c r="K109" s="110"/>
    </row>
    <row r="110" spans="1:11" ht="18.75" x14ac:dyDescent="0.25">
      <c r="A110" s="103">
        <v>98</v>
      </c>
      <c r="B110" s="103" t="e">
        <f>'المحضر النهائي+ ِCode'!#REF!</f>
        <v>#REF!</v>
      </c>
      <c r="C110" s="103"/>
      <c r="D110" s="104"/>
      <c r="E110" s="105"/>
      <c r="F110" s="104"/>
      <c r="G110" s="106" t="e">
        <f>'المحضر النهائي+ ِCode'!#REF!</f>
        <v>#REF!</v>
      </c>
      <c r="H110" s="106" t="e">
        <f>'المحضر النهائي+ ِCode'!#REF!</f>
        <v>#REF!</v>
      </c>
      <c r="I110" s="106" t="e">
        <f t="shared" si="3"/>
        <v>#REF!</v>
      </c>
      <c r="J110" s="123" t="e">
        <f>'المحضر النهائي+ ِCode'!#REF!</f>
        <v>#REF!</v>
      </c>
      <c r="K110" s="110"/>
    </row>
    <row r="111" spans="1:11" ht="18.75" x14ac:dyDescent="0.25">
      <c r="A111" s="103">
        <v>99</v>
      </c>
      <c r="B111" s="103" t="e">
        <f>'المحضر النهائي+ ِCode'!#REF!</f>
        <v>#REF!</v>
      </c>
      <c r="C111" s="103"/>
      <c r="D111" s="104"/>
      <c r="E111" s="105"/>
      <c r="F111" s="104"/>
      <c r="G111" s="106" t="e">
        <f>'المحضر النهائي+ ِCode'!#REF!</f>
        <v>#REF!</v>
      </c>
      <c r="H111" s="106" t="e">
        <f>'المحضر النهائي+ ِCode'!#REF!</f>
        <v>#REF!</v>
      </c>
      <c r="I111" s="106" t="e">
        <f t="shared" si="3"/>
        <v>#REF!</v>
      </c>
      <c r="J111" s="123" t="e">
        <f>'المحضر النهائي+ ِCode'!#REF!</f>
        <v>#REF!</v>
      </c>
      <c r="K111" s="110"/>
    </row>
    <row r="112" spans="1:11" ht="18.75" x14ac:dyDescent="0.25">
      <c r="A112" s="103">
        <v>100</v>
      </c>
      <c r="B112" s="103" t="e">
        <f>'المحضر النهائي+ ِCode'!#REF!</f>
        <v>#REF!</v>
      </c>
      <c r="C112" s="103"/>
      <c r="D112" s="104"/>
      <c r="E112" s="105"/>
      <c r="F112" s="104"/>
      <c r="G112" s="106" t="e">
        <f>'المحضر النهائي+ ِCode'!#REF!</f>
        <v>#REF!</v>
      </c>
      <c r="H112" s="106" t="e">
        <f>'المحضر النهائي+ ِCode'!#REF!</f>
        <v>#REF!</v>
      </c>
      <c r="I112" s="106" t="e">
        <f t="shared" si="3"/>
        <v>#REF!</v>
      </c>
      <c r="J112" s="123" t="e">
        <f>'المحضر النهائي+ ِCode'!#REF!</f>
        <v>#REF!</v>
      </c>
      <c r="K112" s="110"/>
    </row>
    <row r="113" spans="1:15" ht="18.75" x14ac:dyDescent="0.25">
      <c r="A113" s="111"/>
      <c r="B113" s="111"/>
      <c r="C113" s="111"/>
      <c r="D113" s="112"/>
      <c r="E113" s="113"/>
      <c r="F113" s="112"/>
      <c r="G113" s="114"/>
      <c r="H113" s="114"/>
      <c r="I113" s="114"/>
      <c r="J113" s="117"/>
      <c r="K113" s="115"/>
    </row>
    <row r="114" spans="1:15" ht="18.75" x14ac:dyDescent="0.25">
      <c r="A114" s="111"/>
      <c r="B114" s="111"/>
      <c r="C114" s="111"/>
      <c r="D114" s="112"/>
      <c r="E114" s="113"/>
      <c r="F114" s="112"/>
      <c r="G114" s="114"/>
      <c r="H114" s="114"/>
      <c r="I114" s="114"/>
      <c r="J114" s="117"/>
      <c r="K114" s="115"/>
    </row>
    <row r="115" spans="1:15" ht="18.75" x14ac:dyDescent="0.25">
      <c r="A115" s="111"/>
      <c r="B115" s="111"/>
      <c r="C115" s="111"/>
      <c r="D115" s="112"/>
      <c r="E115" s="113"/>
      <c r="F115" s="112"/>
      <c r="G115" s="114"/>
      <c r="H115" s="114"/>
      <c r="I115" s="114"/>
      <c r="J115" s="117"/>
      <c r="K115" s="115"/>
    </row>
    <row r="117" spans="1:15" ht="18" x14ac:dyDescent="0.45">
      <c r="B117" s="206" t="s">
        <v>78</v>
      </c>
      <c r="C117" s="206"/>
      <c r="E117" s="206" t="s">
        <v>79</v>
      </c>
      <c r="F117" s="206"/>
      <c r="I117" s="206" t="s">
        <v>80</v>
      </c>
      <c r="J117" s="206"/>
      <c r="K117" s="206"/>
      <c r="N117" s="207" t="s">
        <v>81</v>
      </c>
      <c r="O117" s="207"/>
    </row>
    <row r="126" spans="1:15" ht="15.75" thickBot="1" x14ac:dyDescent="0.3"/>
    <row r="127" spans="1:15" x14ac:dyDescent="0.25">
      <c r="C127" s="198" t="s">
        <v>82</v>
      </c>
      <c r="D127" s="199"/>
      <c r="E127" s="199"/>
      <c r="F127" s="199"/>
      <c r="G127" s="199"/>
      <c r="H127" s="199"/>
      <c r="I127" s="199"/>
      <c r="J127" s="199"/>
      <c r="K127" s="199"/>
      <c r="L127" s="200"/>
    </row>
    <row r="128" spans="1:15" ht="15.75" thickBot="1" x14ac:dyDescent="0.3">
      <c r="C128" s="201"/>
      <c r="D128" s="202"/>
      <c r="E128" s="202"/>
      <c r="F128" s="202"/>
      <c r="G128" s="202"/>
      <c r="H128" s="202"/>
      <c r="I128" s="202"/>
      <c r="J128" s="202"/>
      <c r="K128" s="202"/>
      <c r="L128" s="203"/>
    </row>
  </sheetData>
  <mergeCells count="23">
    <mergeCell ref="C127:L128"/>
    <mergeCell ref="M19:N20"/>
    <mergeCell ref="O19:O20"/>
    <mergeCell ref="M23:N23"/>
    <mergeCell ref="M24:N24"/>
    <mergeCell ref="M26:N26"/>
    <mergeCell ref="B117:C117"/>
    <mergeCell ref="E117:F117"/>
    <mergeCell ref="I117:K117"/>
    <mergeCell ref="N117:O117"/>
    <mergeCell ref="M15:N16"/>
    <mergeCell ref="O15:O16"/>
    <mergeCell ref="A1:L1"/>
    <mergeCell ref="A2:L2"/>
    <mergeCell ref="A3:K3"/>
    <mergeCell ref="A4:K4"/>
    <mergeCell ref="A5:K5"/>
    <mergeCell ref="A6:K6"/>
    <mergeCell ref="A7:K7"/>
    <mergeCell ref="A8:K8"/>
    <mergeCell ref="A10:K10"/>
    <mergeCell ref="M12:N13"/>
    <mergeCell ref="O12:O13"/>
  </mergeCells>
  <dataValidations count="1">
    <dataValidation type="list" allowBlank="1" showInputMessage="1" showErrorMessage="1" sqref="K13:K115" xr:uid="{00000000-0002-0000-0400-000000000000}">
      <formula1>$T$13:$T$15</formula1>
    </dataValidation>
  </dataValidations>
  <pageMargins left="0.70866141732283472" right="0.70866141732283472" top="0.74803149606299213" bottom="0.74803149606299213" header="0.31496062992125984" footer="0.31496062992125984"/>
  <pageSetup paperSize="9" scale="72" orientation="landscape" verticalDpi="0" r:id="rId1"/>
  <headerFooter>
    <oddFooter xml:space="preserve">&amp;L&amp;N / &amp;P&amp;Rالمحضر النهائي مسابقة الدكتوراه </oddFooter>
  </headerFooter>
  <rowBreaks count="1" manualBreakCount="1">
    <brk id="3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8"/>
  <sheetViews>
    <sheetView rightToLeft="1" topLeftCell="A6" zoomScale="110" zoomScaleNormal="110" workbookViewId="0">
      <selection activeCell="E14" sqref="E14"/>
    </sheetView>
  </sheetViews>
  <sheetFormatPr defaultColWidth="11.42578125" defaultRowHeight="15" x14ac:dyDescent="0.25"/>
  <cols>
    <col min="1" max="1" width="5.42578125" customWidth="1"/>
    <col min="2" max="2" width="28" customWidth="1"/>
    <col min="3" max="3" width="26.28515625" customWidth="1"/>
    <col min="4" max="7" width="20.7109375" customWidth="1"/>
  </cols>
  <sheetData>
    <row r="1" spans="1:7" ht="27.75" x14ac:dyDescent="0.25">
      <c r="A1" s="167" t="s">
        <v>10</v>
      </c>
      <c r="B1" s="167"/>
      <c r="C1" s="167"/>
      <c r="D1" s="167"/>
      <c r="E1" s="167"/>
      <c r="F1" s="167"/>
      <c r="G1" s="167"/>
    </row>
    <row r="2" spans="1:7" ht="27.75" x14ac:dyDescent="0.25">
      <c r="A2" s="167" t="s">
        <v>11</v>
      </c>
      <c r="B2" s="167"/>
      <c r="C2" s="167"/>
      <c r="D2" s="167"/>
      <c r="E2" s="167"/>
      <c r="F2" s="167"/>
      <c r="G2" s="167"/>
    </row>
    <row r="3" spans="1:7" ht="23.25" x14ac:dyDescent="0.25">
      <c r="A3" s="165" t="s">
        <v>12</v>
      </c>
      <c r="B3" s="165"/>
      <c r="C3" s="165"/>
      <c r="D3" s="165"/>
      <c r="E3" s="165"/>
      <c r="F3" s="165"/>
      <c r="G3" s="165"/>
    </row>
    <row r="4" spans="1:7" ht="23.25" x14ac:dyDescent="0.25">
      <c r="A4" s="165" t="s">
        <v>56</v>
      </c>
      <c r="B4" s="165"/>
      <c r="C4" s="165"/>
      <c r="D4" s="165"/>
      <c r="E4" s="165"/>
      <c r="F4" s="165"/>
      <c r="G4" s="165"/>
    </row>
    <row r="5" spans="1:7" ht="23.25" x14ac:dyDescent="0.25">
      <c r="A5" s="165"/>
      <c r="B5" s="165"/>
      <c r="C5" s="165"/>
      <c r="D5" s="165"/>
      <c r="E5" s="165"/>
      <c r="F5" s="165"/>
      <c r="G5" s="165"/>
    </row>
    <row r="6" spans="1:7" ht="36.75" x14ac:dyDescent="0.25">
      <c r="A6" s="169" t="s">
        <v>87</v>
      </c>
      <c r="B6" s="169"/>
      <c r="C6" s="169"/>
      <c r="D6" s="169"/>
      <c r="E6" s="169"/>
      <c r="F6" s="169"/>
      <c r="G6" s="169"/>
    </row>
    <row r="7" spans="1:7" ht="18" x14ac:dyDescent="0.25">
      <c r="A7" s="168" t="s">
        <v>57</v>
      </c>
      <c r="B7" s="168"/>
      <c r="C7" s="168"/>
      <c r="D7" s="168"/>
      <c r="E7" s="168"/>
      <c r="F7" s="168"/>
      <c r="G7" s="168"/>
    </row>
    <row r="8" spans="1:7" ht="27.75" x14ac:dyDescent="0.25">
      <c r="A8" s="195" t="s">
        <v>58</v>
      </c>
      <c r="B8" s="195"/>
      <c r="C8" s="195"/>
      <c r="D8" s="195"/>
      <c r="E8" s="196"/>
      <c r="F8" s="196"/>
      <c r="G8" s="196"/>
    </row>
    <row r="9" spans="1:7" ht="18" x14ac:dyDescent="0.25">
      <c r="A9" s="131"/>
      <c r="B9" s="131"/>
      <c r="C9" s="131"/>
      <c r="D9" s="131"/>
      <c r="E9" s="131"/>
      <c r="F9" s="131"/>
      <c r="G9" s="131"/>
    </row>
    <row r="10" spans="1:7" ht="27.75" customHeight="1" x14ac:dyDescent="0.25">
      <c r="A10" s="166" t="s">
        <v>86</v>
      </c>
      <c r="B10" s="166"/>
      <c r="C10" s="166"/>
      <c r="D10" s="166"/>
      <c r="E10" s="166"/>
      <c r="F10" s="166"/>
      <c r="G10" s="166"/>
    </row>
    <row r="11" spans="1:7" ht="18.75" thickBot="1" x14ac:dyDescent="0.3">
      <c r="A11" s="131"/>
      <c r="B11" s="131"/>
      <c r="C11" s="131"/>
      <c r="D11" s="131"/>
      <c r="E11" s="131"/>
      <c r="F11" s="131"/>
      <c r="G11" s="131"/>
    </row>
    <row r="12" spans="1:7" s="58" customFormat="1" ht="34.5" customHeight="1" thickBot="1" x14ac:dyDescent="0.35">
      <c r="A12" s="157" t="s">
        <v>41</v>
      </c>
      <c r="B12" s="157" t="s">
        <v>88</v>
      </c>
      <c r="C12" s="157" t="s">
        <v>89</v>
      </c>
      <c r="D12" s="157" t="s">
        <v>60</v>
      </c>
      <c r="E12" s="157" t="s">
        <v>61</v>
      </c>
      <c r="F12" s="157" t="s">
        <v>62</v>
      </c>
      <c r="G12" s="157" t="s">
        <v>63</v>
      </c>
    </row>
    <row r="13" spans="1:7" ht="18.75" x14ac:dyDescent="0.25">
      <c r="A13" s="119">
        <v>1</v>
      </c>
      <c r="B13" s="119" t="str">
        <f>'القائمة الإسمية للمترشحين'!F15</f>
        <v>G201</v>
      </c>
      <c r="C13" s="119"/>
      <c r="D13" s="119"/>
      <c r="E13" s="120"/>
      <c r="F13" s="121"/>
      <c r="G13" s="120"/>
    </row>
    <row r="14" spans="1:7" ht="18.75" x14ac:dyDescent="0.25">
      <c r="A14" s="103">
        <v>2</v>
      </c>
      <c r="B14" s="119" t="str">
        <f>'القائمة الإسمية للمترشحين'!F16</f>
        <v>G202</v>
      </c>
      <c r="C14" s="103"/>
      <c r="D14" s="103"/>
      <c r="E14" s="104"/>
      <c r="F14" s="105"/>
      <c r="G14" s="104"/>
    </row>
    <row r="15" spans="1:7" ht="18.75" x14ac:dyDescent="0.25">
      <c r="A15" s="103">
        <v>3</v>
      </c>
      <c r="B15" s="119" t="str">
        <f>'القائمة الإسمية للمترشحين'!F17</f>
        <v>G203</v>
      </c>
      <c r="C15" s="103"/>
      <c r="D15" s="103"/>
      <c r="E15" s="104"/>
      <c r="F15" s="105"/>
      <c r="G15" s="104"/>
    </row>
    <row r="16" spans="1:7" ht="18.75" x14ac:dyDescent="0.25">
      <c r="A16" s="103">
        <v>4</v>
      </c>
      <c r="B16" s="119">
        <f>'القائمة الإسمية للمترشحين'!F18</f>
        <v>0</v>
      </c>
      <c r="C16" s="103"/>
      <c r="D16" s="103"/>
      <c r="E16" s="104"/>
      <c r="F16" s="105"/>
      <c r="G16" s="104"/>
    </row>
    <row r="17" spans="1:7" ht="18.75" x14ac:dyDescent="0.25">
      <c r="A17" s="103">
        <v>5</v>
      </c>
      <c r="B17" s="119">
        <f>'القائمة الإسمية للمترشحين'!F19</f>
        <v>0</v>
      </c>
      <c r="C17" s="103"/>
      <c r="D17" s="103"/>
      <c r="E17" s="104"/>
      <c r="F17" s="105"/>
      <c r="G17" s="104"/>
    </row>
    <row r="18" spans="1:7" ht="18.75" x14ac:dyDescent="0.25">
      <c r="A18" s="103">
        <v>6</v>
      </c>
      <c r="B18" s="119">
        <f>'القائمة الإسمية للمترشحين'!F20</f>
        <v>0</v>
      </c>
      <c r="C18" s="103"/>
      <c r="D18" s="103"/>
      <c r="E18" s="104"/>
      <c r="F18" s="105"/>
      <c r="G18" s="104"/>
    </row>
    <row r="19" spans="1:7" ht="18.75" x14ac:dyDescent="0.25">
      <c r="A19" s="103">
        <v>7</v>
      </c>
      <c r="B19" s="119">
        <f>'القائمة الإسمية للمترشحين'!F21</f>
        <v>0</v>
      </c>
      <c r="C19" s="103"/>
      <c r="D19" s="103"/>
      <c r="E19" s="104"/>
      <c r="F19" s="105"/>
      <c r="G19" s="104"/>
    </row>
    <row r="20" spans="1:7" ht="18.75" x14ac:dyDescent="0.25">
      <c r="A20" s="103">
        <v>8</v>
      </c>
      <c r="B20" s="119">
        <f>'القائمة الإسمية للمترشحين'!F22</f>
        <v>0</v>
      </c>
      <c r="C20" s="103"/>
      <c r="D20" s="103"/>
      <c r="E20" s="104"/>
      <c r="F20" s="105"/>
      <c r="G20" s="104"/>
    </row>
    <row r="21" spans="1:7" ht="18.75" x14ac:dyDescent="0.25">
      <c r="A21" s="103">
        <v>9</v>
      </c>
      <c r="B21" s="119">
        <f>'القائمة الإسمية للمترشحين'!F23</f>
        <v>0</v>
      </c>
      <c r="C21" s="103"/>
      <c r="D21" s="103"/>
      <c r="E21" s="104"/>
      <c r="F21" s="105"/>
      <c r="G21" s="104"/>
    </row>
    <row r="22" spans="1:7" ht="18.75" x14ac:dyDescent="0.25">
      <c r="A22" s="103">
        <v>10</v>
      </c>
      <c r="B22" s="119">
        <f>'القائمة الإسمية للمترشحين'!F24</f>
        <v>0</v>
      </c>
      <c r="C22" s="103"/>
      <c r="D22" s="103"/>
      <c r="E22" s="104"/>
      <c r="F22" s="105"/>
      <c r="G22" s="104"/>
    </row>
    <row r="23" spans="1:7" ht="18.75" x14ac:dyDescent="0.25">
      <c r="A23" s="103">
        <v>11</v>
      </c>
      <c r="B23" s="119">
        <f>'القائمة الإسمية للمترشحين'!F25</f>
        <v>0</v>
      </c>
      <c r="C23" s="103"/>
      <c r="D23" s="103"/>
      <c r="E23" s="104"/>
      <c r="F23" s="105"/>
      <c r="G23" s="104"/>
    </row>
    <row r="24" spans="1:7" ht="18.75" x14ac:dyDescent="0.25">
      <c r="A24" s="103">
        <v>12</v>
      </c>
      <c r="B24" s="119">
        <f>'القائمة الإسمية للمترشحين'!F26</f>
        <v>0</v>
      </c>
      <c r="C24" s="103"/>
      <c r="D24" s="103"/>
      <c r="E24" s="104"/>
      <c r="F24" s="105"/>
      <c r="G24" s="104"/>
    </row>
    <row r="25" spans="1:7" ht="18.75" x14ac:dyDescent="0.25">
      <c r="A25" s="103">
        <v>13</v>
      </c>
      <c r="B25" s="119">
        <f>'القائمة الإسمية للمترشحين'!F27</f>
        <v>0</v>
      </c>
      <c r="C25" s="103"/>
      <c r="D25" s="103"/>
      <c r="E25" s="104"/>
      <c r="F25" s="105"/>
      <c r="G25" s="104"/>
    </row>
    <row r="26" spans="1:7" ht="18.75" x14ac:dyDescent="0.25">
      <c r="A26" s="103">
        <v>14</v>
      </c>
      <c r="B26" s="119">
        <f>'القائمة الإسمية للمترشحين'!F28</f>
        <v>0</v>
      </c>
      <c r="C26" s="103"/>
      <c r="D26" s="103"/>
      <c r="E26" s="104"/>
      <c r="F26" s="105"/>
      <c r="G26" s="104"/>
    </row>
    <row r="27" spans="1:7" ht="18.75" x14ac:dyDescent="0.25">
      <c r="A27" s="103">
        <v>15</v>
      </c>
      <c r="B27" s="119">
        <f>'القائمة الإسمية للمترشحين'!F29</f>
        <v>0</v>
      </c>
      <c r="C27" s="103"/>
      <c r="D27" s="103"/>
      <c r="E27" s="104"/>
      <c r="F27" s="105"/>
      <c r="G27" s="104"/>
    </row>
    <row r="28" spans="1:7" ht="18.75" x14ac:dyDescent="0.25">
      <c r="A28" s="103">
        <v>16</v>
      </c>
      <c r="B28" s="119">
        <f>'القائمة الإسمية للمترشحين'!F30</f>
        <v>0</v>
      </c>
      <c r="C28" s="103"/>
      <c r="D28" s="103"/>
      <c r="E28" s="104"/>
      <c r="F28" s="105"/>
      <c r="G28" s="104"/>
    </row>
    <row r="29" spans="1:7" ht="18.75" x14ac:dyDescent="0.25">
      <c r="A29" s="103">
        <v>17</v>
      </c>
      <c r="B29" s="119">
        <f>'القائمة الإسمية للمترشحين'!F31</f>
        <v>0</v>
      </c>
      <c r="C29" s="103"/>
      <c r="D29" s="103"/>
      <c r="E29" s="104"/>
      <c r="F29" s="105"/>
      <c r="G29" s="104"/>
    </row>
    <row r="30" spans="1:7" ht="18.75" x14ac:dyDescent="0.25">
      <c r="A30" s="103">
        <v>18</v>
      </c>
      <c r="B30" s="119">
        <f>'القائمة الإسمية للمترشحين'!F32</f>
        <v>0</v>
      </c>
      <c r="C30" s="103"/>
      <c r="D30" s="103"/>
      <c r="E30" s="104"/>
      <c r="F30" s="105"/>
      <c r="G30" s="104"/>
    </row>
    <row r="31" spans="1:7" ht="18.75" x14ac:dyDescent="0.25">
      <c r="A31" s="103">
        <v>19</v>
      </c>
      <c r="B31" s="119">
        <f>'القائمة الإسمية للمترشحين'!F33</f>
        <v>0</v>
      </c>
      <c r="C31" s="103"/>
      <c r="D31" s="103"/>
      <c r="E31" s="104"/>
      <c r="F31" s="105"/>
      <c r="G31" s="104"/>
    </row>
    <row r="32" spans="1:7" ht="18.75" x14ac:dyDescent="0.25">
      <c r="A32" s="103">
        <v>20</v>
      </c>
      <c r="B32" s="119">
        <f>'القائمة الإسمية للمترشحين'!F34</f>
        <v>0</v>
      </c>
      <c r="C32" s="103"/>
      <c r="D32" s="103"/>
      <c r="E32" s="104"/>
      <c r="F32" s="105"/>
      <c r="G32" s="104"/>
    </row>
    <row r="33" spans="1:7" ht="18.75" x14ac:dyDescent="0.25">
      <c r="A33" s="103">
        <v>21</v>
      </c>
      <c r="B33" s="119">
        <f>'القائمة الإسمية للمترشحين'!F35</f>
        <v>0</v>
      </c>
      <c r="C33" s="103"/>
      <c r="D33" s="103"/>
      <c r="E33" s="104"/>
      <c r="F33" s="105"/>
      <c r="G33" s="104"/>
    </row>
    <row r="34" spans="1:7" ht="18.75" x14ac:dyDescent="0.25">
      <c r="A34" s="103">
        <v>22</v>
      </c>
      <c r="B34" s="119">
        <f>'القائمة الإسمية للمترشحين'!F36</f>
        <v>0</v>
      </c>
      <c r="C34" s="103"/>
      <c r="D34" s="103"/>
      <c r="E34" s="104"/>
      <c r="F34" s="105"/>
      <c r="G34" s="104"/>
    </row>
    <row r="35" spans="1:7" ht="18.75" x14ac:dyDescent="0.25">
      <c r="A35" s="103">
        <v>23</v>
      </c>
      <c r="B35" s="119">
        <f>'القائمة الإسمية للمترشحين'!F37</f>
        <v>0</v>
      </c>
      <c r="C35" s="103"/>
      <c r="D35" s="103"/>
      <c r="E35" s="104"/>
      <c r="F35" s="105"/>
      <c r="G35" s="104"/>
    </row>
    <row r="36" spans="1:7" ht="18.75" x14ac:dyDescent="0.25">
      <c r="A36" s="103">
        <v>24</v>
      </c>
      <c r="B36" s="119">
        <f>'القائمة الإسمية للمترشحين'!F38</f>
        <v>0</v>
      </c>
      <c r="C36" s="103"/>
      <c r="D36" s="103"/>
      <c r="E36" s="104"/>
      <c r="F36" s="105"/>
      <c r="G36" s="104"/>
    </row>
    <row r="37" spans="1:7" ht="18.75" x14ac:dyDescent="0.25">
      <c r="A37" s="103">
        <v>25</v>
      </c>
      <c r="B37" s="119">
        <f>'القائمة الإسمية للمترشحين'!F39</f>
        <v>0</v>
      </c>
      <c r="C37" s="103"/>
      <c r="D37" s="103"/>
      <c r="E37" s="104"/>
      <c r="F37" s="105"/>
      <c r="G37" s="104"/>
    </row>
    <row r="38" spans="1:7" ht="18.75" x14ac:dyDescent="0.25">
      <c r="A38" s="103">
        <v>26</v>
      </c>
      <c r="B38" s="119">
        <f>'القائمة الإسمية للمترشحين'!F40</f>
        <v>0</v>
      </c>
      <c r="C38" s="103"/>
      <c r="D38" s="103"/>
      <c r="E38" s="104"/>
      <c r="F38" s="105"/>
      <c r="G38" s="104"/>
    </row>
    <row r="39" spans="1:7" ht="18.75" x14ac:dyDescent="0.25">
      <c r="A39" s="103">
        <v>27</v>
      </c>
      <c r="B39" s="119">
        <f>'القائمة الإسمية للمترشحين'!F41</f>
        <v>0</v>
      </c>
      <c r="C39" s="103"/>
      <c r="D39" s="103"/>
      <c r="E39" s="104"/>
      <c r="F39" s="105"/>
      <c r="G39" s="104"/>
    </row>
    <row r="40" spans="1:7" ht="18.75" x14ac:dyDescent="0.25">
      <c r="A40" s="103">
        <v>28</v>
      </c>
      <c r="B40" s="119">
        <f>'القائمة الإسمية للمترشحين'!F42</f>
        <v>0</v>
      </c>
      <c r="C40" s="103"/>
      <c r="D40" s="103"/>
      <c r="E40" s="104"/>
      <c r="F40" s="105"/>
      <c r="G40" s="104"/>
    </row>
    <row r="41" spans="1:7" ht="18.75" x14ac:dyDescent="0.25">
      <c r="A41" s="103">
        <v>29</v>
      </c>
      <c r="B41" s="119">
        <f>'القائمة الإسمية للمترشحين'!F43</f>
        <v>0</v>
      </c>
      <c r="C41" s="103"/>
      <c r="D41" s="103"/>
      <c r="E41" s="104"/>
      <c r="F41" s="105"/>
      <c r="G41" s="104"/>
    </row>
    <row r="42" spans="1:7" ht="18.75" x14ac:dyDescent="0.25">
      <c r="A42" s="103">
        <v>30</v>
      </c>
      <c r="B42" s="119">
        <f>'القائمة الإسمية للمترشحين'!F44</f>
        <v>0</v>
      </c>
      <c r="C42" s="103"/>
      <c r="D42" s="103"/>
      <c r="E42" s="104"/>
      <c r="F42" s="105"/>
      <c r="G42" s="104"/>
    </row>
    <row r="43" spans="1:7" ht="18.75" x14ac:dyDescent="0.25">
      <c r="A43" s="103">
        <v>31</v>
      </c>
      <c r="B43" s="119">
        <f>'القائمة الإسمية للمترشحين'!F45</f>
        <v>0</v>
      </c>
      <c r="C43" s="103"/>
      <c r="D43" s="103"/>
      <c r="E43" s="104"/>
      <c r="F43" s="105"/>
      <c r="G43" s="104"/>
    </row>
    <row r="44" spans="1:7" ht="18.75" x14ac:dyDescent="0.25">
      <c r="A44" s="103">
        <v>32</v>
      </c>
      <c r="B44" s="119">
        <f>'القائمة الإسمية للمترشحين'!F46</f>
        <v>0</v>
      </c>
      <c r="C44" s="103"/>
      <c r="D44" s="103"/>
      <c r="E44" s="104"/>
      <c r="F44" s="105"/>
      <c r="G44" s="104"/>
    </row>
    <row r="45" spans="1:7" ht="18.75" x14ac:dyDescent="0.25">
      <c r="A45" s="103">
        <v>33</v>
      </c>
      <c r="B45" s="119">
        <f>'القائمة الإسمية للمترشحين'!F47</f>
        <v>0</v>
      </c>
      <c r="C45" s="103"/>
      <c r="D45" s="103"/>
      <c r="E45" s="104"/>
      <c r="F45" s="105"/>
      <c r="G45" s="104"/>
    </row>
    <row r="46" spans="1:7" ht="18.75" x14ac:dyDescent="0.25">
      <c r="A46" s="103">
        <v>34</v>
      </c>
      <c r="B46" s="119">
        <f>'القائمة الإسمية للمترشحين'!F48</f>
        <v>0</v>
      </c>
      <c r="C46" s="103"/>
      <c r="D46" s="103"/>
      <c r="E46" s="104"/>
      <c r="F46" s="105"/>
      <c r="G46" s="104"/>
    </row>
    <row r="47" spans="1:7" ht="18.75" x14ac:dyDescent="0.25">
      <c r="A47" s="103">
        <v>35</v>
      </c>
      <c r="B47" s="119">
        <f>'القائمة الإسمية للمترشحين'!F49</f>
        <v>0</v>
      </c>
      <c r="C47" s="103"/>
      <c r="D47" s="103"/>
      <c r="E47" s="104"/>
      <c r="F47" s="105"/>
      <c r="G47" s="104"/>
    </row>
    <row r="48" spans="1:7" ht="18.75" x14ac:dyDescent="0.25">
      <c r="A48" s="103">
        <v>36</v>
      </c>
      <c r="B48" s="119">
        <f>'القائمة الإسمية للمترشحين'!F50</f>
        <v>0</v>
      </c>
      <c r="C48" s="103"/>
      <c r="D48" s="103"/>
      <c r="E48" s="104"/>
      <c r="F48" s="105"/>
      <c r="G48" s="104"/>
    </row>
    <row r="49" spans="1:7" ht="18.75" x14ac:dyDescent="0.25">
      <c r="A49" s="103">
        <v>37</v>
      </c>
      <c r="B49" s="119">
        <f>'القائمة الإسمية للمترشحين'!F51</f>
        <v>0</v>
      </c>
      <c r="C49" s="103"/>
      <c r="D49" s="103"/>
      <c r="E49" s="104"/>
      <c r="F49" s="105"/>
      <c r="G49" s="104"/>
    </row>
    <row r="50" spans="1:7" ht="18.75" x14ac:dyDescent="0.25">
      <c r="A50" s="103">
        <v>38</v>
      </c>
      <c r="B50" s="119">
        <f>'القائمة الإسمية للمترشحين'!F52</f>
        <v>0</v>
      </c>
      <c r="C50" s="103"/>
      <c r="D50" s="103"/>
      <c r="E50" s="104"/>
      <c r="F50" s="105"/>
      <c r="G50" s="104"/>
    </row>
    <row r="51" spans="1:7" ht="18.75" x14ac:dyDescent="0.25">
      <c r="A51" s="103">
        <v>39</v>
      </c>
      <c r="B51" s="119">
        <f>'القائمة الإسمية للمترشحين'!F53</f>
        <v>0</v>
      </c>
      <c r="C51" s="103"/>
      <c r="D51" s="103"/>
      <c r="E51" s="104"/>
      <c r="F51" s="105"/>
      <c r="G51" s="104"/>
    </row>
    <row r="52" spans="1:7" ht="18.75" x14ac:dyDescent="0.25">
      <c r="A52" s="103">
        <v>40</v>
      </c>
      <c r="B52" s="119">
        <f>'القائمة الإسمية للمترشحين'!F54</f>
        <v>0</v>
      </c>
      <c r="C52" s="103"/>
      <c r="D52" s="103"/>
      <c r="E52" s="104"/>
      <c r="F52" s="105"/>
      <c r="G52" s="104"/>
    </row>
    <row r="53" spans="1:7" ht="18.75" x14ac:dyDescent="0.25">
      <c r="A53" s="103">
        <v>41</v>
      </c>
      <c r="B53" s="119">
        <f>'القائمة الإسمية للمترشحين'!F55</f>
        <v>0</v>
      </c>
      <c r="C53" s="103"/>
      <c r="D53" s="103"/>
      <c r="E53" s="104"/>
      <c r="F53" s="105"/>
      <c r="G53" s="104"/>
    </row>
    <row r="54" spans="1:7" ht="18.75" x14ac:dyDescent="0.25">
      <c r="A54" s="103">
        <v>42</v>
      </c>
      <c r="B54" s="119">
        <f>'القائمة الإسمية للمترشحين'!F56</f>
        <v>0</v>
      </c>
      <c r="C54" s="103"/>
      <c r="D54" s="103"/>
      <c r="E54" s="104"/>
      <c r="F54" s="105"/>
      <c r="G54" s="104"/>
    </row>
    <row r="55" spans="1:7" ht="18.75" x14ac:dyDescent="0.25">
      <c r="A55" s="103">
        <v>43</v>
      </c>
      <c r="B55" s="119">
        <f>'القائمة الإسمية للمترشحين'!F57</f>
        <v>0</v>
      </c>
      <c r="C55" s="103"/>
      <c r="D55" s="103"/>
      <c r="E55" s="104"/>
      <c r="F55" s="105"/>
      <c r="G55" s="104"/>
    </row>
    <row r="56" spans="1:7" ht="18.75" x14ac:dyDescent="0.25">
      <c r="A56" s="103">
        <v>44</v>
      </c>
      <c r="B56" s="119">
        <f>'القائمة الإسمية للمترشحين'!F58</f>
        <v>0</v>
      </c>
      <c r="C56" s="103"/>
      <c r="D56" s="103"/>
      <c r="E56" s="104"/>
      <c r="F56" s="105"/>
      <c r="G56" s="104"/>
    </row>
    <row r="57" spans="1:7" ht="18.75" x14ac:dyDescent="0.25">
      <c r="A57" s="103">
        <v>45</v>
      </c>
      <c r="B57" s="119">
        <f>'القائمة الإسمية للمترشحين'!F59</f>
        <v>0</v>
      </c>
      <c r="C57" s="103"/>
      <c r="D57" s="103"/>
      <c r="E57" s="104"/>
      <c r="F57" s="105"/>
      <c r="G57" s="104"/>
    </row>
    <row r="58" spans="1:7" ht="18.75" x14ac:dyDescent="0.25">
      <c r="A58" s="103">
        <v>46</v>
      </c>
      <c r="B58" s="119">
        <f>'القائمة الإسمية للمترشحين'!F60</f>
        <v>0</v>
      </c>
      <c r="C58" s="103"/>
      <c r="D58" s="103"/>
      <c r="E58" s="104"/>
      <c r="F58" s="105"/>
      <c r="G58" s="104"/>
    </row>
    <row r="59" spans="1:7" ht="18.75" x14ac:dyDescent="0.25">
      <c r="A59" s="103">
        <v>47</v>
      </c>
      <c r="B59" s="119">
        <f>'القائمة الإسمية للمترشحين'!F61</f>
        <v>0</v>
      </c>
      <c r="C59" s="103"/>
      <c r="D59" s="103"/>
      <c r="E59" s="104"/>
      <c r="F59" s="105"/>
      <c r="G59" s="104"/>
    </row>
    <row r="60" spans="1:7" ht="18.75" x14ac:dyDescent="0.25">
      <c r="A60" s="103">
        <v>48</v>
      </c>
      <c r="B60" s="119">
        <f>'القائمة الإسمية للمترشحين'!F62</f>
        <v>0</v>
      </c>
      <c r="C60" s="103"/>
      <c r="D60" s="103"/>
      <c r="E60" s="104"/>
      <c r="F60" s="105"/>
      <c r="G60" s="104"/>
    </row>
    <row r="61" spans="1:7" ht="18.75" x14ac:dyDescent="0.25">
      <c r="A61" s="103">
        <v>49</v>
      </c>
      <c r="B61" s="119">
        <f>'القائمة الإسمية للمترشحين'!F63</f>
        <v>0</v>
      </c>
      <c r="C61" s="103"/>
      <c r="D61" s="103"/>
      <c r="E61" s="104"/>
      <c r="F61" s="105"/>
      <c r="G61" s="104"/>
    </row>
    <row r="62" spans="1:7" ht="18.75" x14ac:dyDescent="0.25">
      <c r="A62" s="103">
        <v>50</v>
      </c>
      <c r="B62" s="119">
        <f>'القائمة الإسمية للمترشحين'!F64</f>
        <v>0</v>
      </c>
      <c r="C62" s="103"/>
      <c r="D62" s="103"/>
      <c r="E62" s="104"/>
      <c r="F62" s="105"/>
      <c r="G62" s="104"/>
    </row>
    <row r="63" spans="1:7" ht="18.75" x14ac:dyDescent="0.25">
      <c r="A63" s="103">
        <v>51</v>
      </c>
      <c r="B63" s="119">
        <f>'القائمة الإسمية للمترشحين'!F65</f>
        <v>0</v>
      </c>
      <c r="C63" s="103"/>
      <c r="D63" s="103"/>
      <c r="E63" s="104"/>
      <c r="F63" s="105"/>
      <c r="G63" s="104"/>
    </row>
    <row r="64" spans="1:7" ht="18.75" x14ac:dyDescent="0.25">
      <c r="A64" s="103">
        <v>52</v>
      </c>
      <c r="B64" s="119" t="e">
        <f>'القائمة الإسمية للمترشحين'!#REF!</f>
        <v>#REF!</v>
      </c>
      <c r="C64" s="103"/>
      <c r="D64" s="103"/>
      <c r="E64" s="104"/>
      <c r="F64" s="105"/>
      <c r="G64" s="104"/>
    </row>
    <row r="65" spans="1:7" ht="18.75" x14ac:dyDescent="0.25">
      <c r="A65" s="103">
        <v>53</v>
      </c>
      <c r="B65" s="119" t="e">
        <f>'القائمة الإسمية للمترشحين'!#REF!</f>
        <v>#REF!</v>
      </c>
      <c r="C65" s="103"/>
      <c r="D65" s="103"/>
      <c r="E65" s="104"/>
      <c r="F65" s="105"/>
      <c r="G65" s="104"/>
    </row>
    <row r="66" spans="1:7" ht="18.75" x14ac:dyDescent="0.25">
      <c r="A66" s="103">
        <v>54</v>
      </c>
      <c r="B66" s="119" t="e">
        <f>'القائمة الإسمية للمترشحين'!#REF!</f>
        <v>#REF!</v>
      </c>
      <c r="C66" s="103"/>
      <c r="D66" s="103"/>
      <c r="E66" s="104"/>
      <c r="F66" s="105"/>
      <c r="G66" s="104"/>
    </row>
    <row r="67" spans="1:7" ht="18.75" x14ac:dyDescent="0.25">
      <c r="A67" s="103">
        <v>55</v>
      </c>
      <c r="B67" s="119" t="e">
        <f>'القائمة الإسمية للمترشحين'!#REF!</f>
        <v>#REF!</v>
      </c>
      <c r="C67" s="103"/>
      <c r="D67" s="103"/>
      <c r="E67" s="104"/>
      <c r="F67" s="105"/>
      <c r="G67" s="104"/>
    </row>
    <row r="68" spans="1:7" ht="18.75" x14ac:dyDescent="0.25">
      <c r="A68" s="103">
        <v>56</v>
      </c>
      <c r="B68" s="119" t="e">
        <f>'القائمة الإسمية للمترشحين'!#REF!</f>
        <v>#REF!</v>
      </c>
      <c r="C68" s="103"/>
      <c r="D68" s="103"/>
      <c r="E68" s="104"/>
      <c r="F68" s="105"/>
      <c r="G68" s="104"/>
    </row>
    <row r="69" spans="1:7" ht="18.75" x14ac:dyDescent="0.25">
      <c r="A69" s="103">
        <v>57</v>
      </c>
      <c r="B69" s="119" t="e">
        <f>'القائمة الإسمية للمترشحين'!#REF!</f>
        <v>#REF!</v>
      </c>
      <c r="C69" s="103"/>
      <c r="D69" s="103"/>
      <c r="E69" s="104"/>
      <c r="F69" s="105"/>
      <c r="G69" s="104"/>
    </row>
    <row r="70" spans="1:7" ht="18.75" x14ac:dyDescent="0.25">
      <c r="A70" s="103">
        <v>58</v>
      </c>
      <c r="B70" s="119" t="e">
        <f>'القائمة الإسمية للمترشحين'!#REF!</f>
        <v>#REF!</v>
      </c>
      <c r="C70" s="103"/>
      <c r="D70" s="103"/>
      <c r="E70" s="104"/>
      <c r="F70" s="105"/>
      <c r="G70" s="104"/>
    </row>
    <row r="71" spans="1:7" ht="18.75" x14ac:dyDescent="0.25">
      <c r="A71" s="103">
        <v>59</v>
      </c>
      <c r="B71" s="119" t="e">
        <f>'القائمة الإسمية للمترشحين'!#REF!</f>
        <v>#REF!</v>
      </c>
      <c r="C71" s="103"/>
      <c r="D71" s="103"/>
      <c r="E71" s="104"/>
      <c r="F71" s="105"/>
      <c r="G71" s="104"/>
    </row>
    <row r="72" spans="1:7" ht="18.75" x14ac:dyDescent="0.25">
      <c r="A72" s="103">
        <v>60</v>
      </c>
      <c r="B72" s="119" t="e">
        <f>'القائمة الإسمية للمترشحين'!#REF!</f>
        <v>#REF!</v>
      </c>
      <c r="C72" s="103"/>
      <c r="D72" s="103"/>
      <c r="E72" s="104"/>
      <c r="F72" s="105"/>
      <c r="G72" s="104"/>
    </row>
    <row r="73" spans="1:7" ht="18.75" x14ac:dyDescent="0.25">
      <c r="A73" s="103">
        <v>61</v>
      </c>
      <c r="B73" s="119" t="e">
        <f>'القائمة الإسمية للمترشحين'!#REF!</f>
        <v>#REF!</v>
      </c>
      <c r="C73" s="103"/>
      <c r="D73" s="103"/>
      <c r="E73" s="104"/>
      <c r="F73" s="105"/>
      <c r="G73" s="104"/>
    </row>
    <row r="74" spans="1:7" ht="18.75" x14ac:dyDescent="0.25">
      <c r="A74" s="103">
        <v>62</v>
      </c>
      <c r="B74" s="119" t="e">
        <f>'القائمة الإسمية للمترشحين'!#REF!</f>
        <v>#REF!</v>
      </c>
      <c r="C74" s="103"/>
      <c r="D74" s="103"/>
      <c r="E74" s="104"/>
      <c r="F74" s="105"/>
      <c r="G74" s="104"/>
    </row>
    <row r="75" spans="1:7" ht="18.75" x14ac:dyDescent="0.25">
      <c r="A75" s="103">
        <v>63</v>
      </c>
      <c r="B75" s="119" t="e">
        <f>'القائمة الإسمية للمترشحين'!#REF!</f>
        <v>#REF!</v>
      </c>
      <c r="C75" s="103"/>
      <c r="D75" s="103"/>
      <c r="E75" s="104"/>
      <c r="F75" s="105"/>
      <c r="G75" s="104"/>
    </row>
    <row r="76" spans="1:7" ht="18.75" x14ac:dyDescent="0.25">
      <c r="A76" s="103">
        <v>64</v>
      </c>
      <c r="B76" s="119" t="e">
        <f>'القائمة الإسمية للمترشحين'!#REF!</f>
        <v>#REF!</v>
      </c>
      <c r="C76" s="103"/>
      <c r="D76" s="103"/>
      <c r="E76" s="104"/>
      <c r="F76" s="105"/>
      <c r="G76" s="104"/>
    </row>
    <row r="77" spans="1:7" ht="18.75" x14ac:dyDescent="0.25">
      <c r="A77" s="103">
        <v>65</v>
      </c>
      <c r="B77" s="119" t="e">
        <f>'القائمة الإسمية للمترشحين'!#REF!</f>
        <v>#REF!</v>
      </c>
      <c r="C77" s="103"/>
      <c r="D77" s="103"/>
      <c r="E77" s="104"/>
      <c r="F77" s="105"/>
      <c r="G77" s="104"/>
    </row>
    <row r="78" spans="1:7" ht="18.75" x14ac:dyDescent="0.25">
      <c r="A78" s="103">
        <v>66</v>
      </c>
      <c r="B78" s="119" t="e">
        <f>'القائمة الإسمية للمترشحين'!#REF!</f>
        <v>#REF!</v>
      </c>
      <c r="C78" s="103"/>
      <c r="D78" s="103"/>
      <c r="E78" s="104"/>
      <c r="F78" s="105"/>
      <c r="G78" s="104"/>
    </row>
    <row r="79" spans="1:7" ht="18.75" x14ac:dyDescent="0.25">
      <c r="A79" s="103">
        <v>67</v>
      </c>
      <c r="B79" s="119" t="e">
        <f>'القائمة الإسمية للمترشحين'!#REF!</f>
        <v>#REF!</v>
      </c>
      <c r="C79" s="103"/>
      <c r="D79" s="103"/>
      <c r="E79" s="104"/>
      <c r="F79" s="105"/>
      <c r="G79" s="104"/>
    </row>
    <row r="80" spans="1:7" ht="18.75" x14ac:dyDescent="0.25">
      <c r="A80" s="103">
        <v>68</v>
      </c>
      <c r="B80" s="119" t="e">
        <f>'القائمة الإسمية للمترشحين'!#REF!</f>
        <v>#REF!</v>
      </c>
      <c r="C80" s="103"/>
      <c r="D80" s="103"/>
      <c r="E80" s="104"/>
      <c r="F80" s="105"/>
      <c r="G80" s="104"/>
    </row>
    <row r="81" spans="1:7" ht="18.75" x14ac:dyDescent="0.25">
      <c r="A81" s="103">
        <v>69</v>
      </c>
      <c r="B81" s="119" t="e">
        <f>'القائمة الإسمية للمترشحين'!#REF!</f>
        <v>#REF!</v>
      </c>
      <c r="C81" s="103"/>
      <c r="D81" s="103"/>
      <c r="E81" s="104"/>
      <c r="F81" s="105"/>
      <c r="G81" s="104"/>
    </row>
    <row r="82" spans="1:7" ht="18.75" x14ac:dyDescent="0.25">
      <c r="A82" s="103">
        <v>70</v>
      </c>
      <c r="B82" s="119" t="e">
        <f>'القائمة الإسمية للمترشحين'!#REF!</f>
        <v>#REF!</v>
      </c>
      <c r="C82" s="103"/>
      <c r="D82" s="103"/>
      <c r="E82" s="104"/>
      <c r="F82" s="105"/>
      <c r="G82" s="104"/>
    </row>
    <row r="83" spans="1:7" ht="18.75" x14ac:dyDescent="0.25">
      <c r="A83" s="103">
        <v>71</v>
      </c>
      <c r="B83" s="119" t="e">
        <f>'القائمة الإسمية للمترشحين'!#REF!</f>
        <v>#REF!</v>
      </c>
      <c r="C83" s="103"/>
      <c r="D83" s="103"/>
      <c r="E83" s="104"/>
      <c r="F83" s="105"/>
      <c r="G83" s="104"/>
    </row>
    <row r="84" spans="1:7" ht="18.75" x14ac:dyDescent="0.25">
      <c r="A84" s="103">
        <v>72</v>
      </c>
      <c r="B84" s="119" t="e">
        <f>'القائمة الإسمية للمترشحين'!#REF!</f>
        <v>#REF!</v>
      </c>
      <c r="C84" s="103"/>
      <c r="D84" s="103"/>
      <c r="E84" s="104"/>
      <c r="F84" s="105"/>
      <c r="G84" s="104"/>
    </row>
    <row r="85" spans="1:7" ht="18.75" x14ac:dyDescent="0.25">
      <c r="A85" s="103">
        <v>73</v>
      </c>
      <c r="B85" s="119" t="e">
        <f>'القائمة الإسمية للمترشحين'!#REF!</f>
        <v>#REF!</v>
      </c>
      <c r="C85" s="103"/>
      <c r="D85" s="103"/>
      <c r="E85" s="104"/>
      <c r="F85" s="105"/>
      <c r="G85" s="104"/>
    </row>
    <row r="86" spans="1:7" ht="18.75" x14ac:dyDescent="0.25">
      <c r="A86" s="103">
        <v>74</v>
      </c>
      <c r="B86" s="119" t="e">
        <f>'القائمة الإسمية للمترشحين'!#REF!</f>
        <v>#REF!</v>
      </c>
      <c r="C86" s="103"/>
      <c r="D86" s="103"/>
      <c r="E86" s="104"/>
      <c r="F86" s="105"/>
      <c r="G86" s="104"/>
    </row>
    <row r="87" spans="1:7" ht="18.75" x14ac:dyDescent="0.25">
      <c r="A87" s="103">
        <v>75</v>
      </c>
      <c r="B87" s="119" t="e">
        <f>'القائمة الإسمية للمترشحين'!#REF!</f>
        <v>#REF!</v>
      </c>
      <c r="C87" s="103"/>
      <c r="D87" s="103"/>
      <c r="E87" s="104"/>
      <c r="F87" s="105"/>
      <c r="G87" s="104"/>
    </row>
    <row r="88" spans="1:7" ht="18.75" x14ac:dyDescent="0.25">
      <c r="A88" s="103">
        <v>76</v>
      </c>
      <c r="B88" s="119" t="e">
        <f>'القائمة الإسمية للمترشحين'!#REF!</f>
        <v>#REF!</v>
      </c>
      <c r="C88" s="103"/>
      <c r="D88" s="103"/>
      <c r="E88" s="104"/>
      <c r="F88" s="105"/>
      <c r="G88" s="104"/>
    </row>
    <row r="89" spans="1:7" ht="18.75" x14ac:dyDescent="0.25">
      <c r="A89" s="103">
        <v>77</v>
      </c>
      <c r="B89" s="119" t="e">
        <f>'القائمة الإسمية للمترشحين'!#REF!</f>
        <v>#REF!</v>
      </c>
      <c r="C89" s="103"/>
      <c r="D89" s="103"/>
      <c r="E89" s="104"/>
      <c r="F89" s="105"/>
      <c r="G89" s="104"/>
    </row>
    <row r="90" spans="1:7" ht="18.75" x14ac:dyDescent="0.25">
      <c r="A90" s="103">
        <v>78</v>
      </c>
      <c r="B90" s="119" t="e">
        <f>'القائمة الإسمية للمترشحين'!#REF!</f>
        <v>#REF!</v>
      </c>
      <c r="C90" s="103"/>
      <c r="D90" s="103"/>
      <c r="E90" s="104"/>
      <c r="F90" s="105"/>
      <c r="G90" s="104"/>
    </row>
    <row r="91" spans="1:7" ht="18.75" x14ac:dyDescent="0.25">
      <c r="A91" s="103">
        <v>79</v>
      </c>
      <c r="B91" s="119" t="e">
        <f>'القائمة الإسمية للمترشحين'!#REF!</f>
        <v>#REF!</v>
      </c>
      <c r="C91" s="103"/>
      <c r="D91" s="103"/>
      <c r="E91" s="104"/>
      <c r="F91" s="105"/>
      <c r="G91" s="104"/>
    </row>
    <row r="92" spans="1:7" ht="18.75" x14ac:dyDescent="0.25">
      <c r="A92" s="103">
        <v>80</v>
      </c>
      <c r="B92" s="119" t="e">
        <f>'القائمة الإسمية للمترشحين'!#REF!</f>
        <v>#REF!</v>
      </c>
      <c r="C92" s="103"/>
      <c r="D92" s="103"/>
      <c r="E92" s="104"/>
      <c r="F92" s="105"/>
      <c r="G92" s="104"/>
    </row>
    <row r="93" spans="1:7" ht="18.75" x14ac:dyDescent="0.25">
      <c r="A93" s="103">
        <v>81</v>
      </c>
      <c r="B93" s="119" t="e">
        <f>'القائمة الإسمية للمترشحين'!#REF!</f>
        <v>#REF!</v>
      </c>
      <c r="C93" s="103"/>
      <c r="D93" s="103"/>
      <c r="E93" s="104"/>
      <c r="F93" s="105"/>
      <c r="G93" s="104"/>
    </row>
    <row r="94" spans="1:7" ht="18.75" x14ac:dyDescent="0.25">
      <c r="A94" s="103">
        <v>82</v>
      </c>
      <c r="B94" s="119" t="e">
        <f>'القائمة الإسمية للمترشحين'!#REF!</f>
        <v>#REF!</v>
      </c>
      <c r="C94" s="103"/>
      <c r="D94" s="103"/>
      <c r="E94" s="104"/>
      <c r="F94" s="105"/>
      <c r="G94" s="104"/>
    </row>
    <row r="95" spans="1:7" ht="18.75" x14ac:dyDescent="0.25">
      <c r="A95" s="103">
        <v>83</v>
      </c>
      <c r="B95" s="119" t="e">
        <f>'القائمة الإسمية للمترشحين'!#REF!</f>
        <v>#REF!</v>
      </c>
      <c r="C95" s="103"/>
      <c r="D95" s="103"/>
      <c r="E95" s="104"/>
      <c r="F95" s="105"/>
      <c r="G95" s="104"/>
    </row>
    <row r="96" spans="1:7" ht="18.75" x14ac:dyDescent="0.25">
      <c r="A96" s="103">
        <v>84</v>
      </c>
      <c r="B96" s="119" t="e">
        <f>'القائمة الإسمية للمترشحين'!#REF!</f>
        <v>#REF!</v>
      </c>
      <c r="C96" s="103"/>
      <c r="D96" s="103"/>
      <c r="E96" s="104"/>
      <c r="F96" s="105"/>
      <c r="G96" s="104"/>
    </row>
    <row r="97" spans="1:7" ht="18.75" x14ac:dyDescent="0.25">
      <c r="A97" s="103">
        <v>85</v>
      </c>
      <c r="B97" s="119" t="e">
        <f>'القائمة الإسمية للمترشحين'!#REF!</f>
        <v>#REF!</v>
      </c>
      <c r="C97" s="103"/>
      <c r="D97" s="103"/>
      <c r="E97" s="104"/>
      <c r="F97" s="105"/>
      <c r="G97" s="104"/>
    </row>
    <row r="98" spans="1:7" ht="18.75" x14ac:dyDescent="0.25">
      <c r="A98" s="103">
        <v>86</v>
      </c>
      <c r="B98" s="119" t="e">
        <f>'القائمة الإسمية للمترشحين'!#REF!</f>
        <v>#REF!</v>
      </c>
      <c r="C98" s="103"/>
      <c r="D98" s="103"/>
      <c r="E98" s="104"/>
      <c r="F98" s="105"/>
      <c r="G98" s="104"/>
    </row>
    <row r="99" spans="1:7" ht="18.75" x14ac:dyDescent="0.25">
      <c r="A99" s="103">
        <v>87</v>
      </c>
      <c r="B99" s="119" t="e">
        <f>'القائمة الإسمية للمترشحين'!#REF!</f>
        <v>#REF!</v>
      </c>
      <c r="C99" s="103"/>
      <c r="D99" s="103"/>
      <c r="E99" s="104"/>
      <c r="F99" s="105"/>
      <c r="G99" s="104"/>
    </row>
    <row r="100" spans="1:7" ht="18.75" x14ac:dyDescent="0.25">
      <c r="A100" s="103">
        <v>88</v>
      </c>
      <c r="B100" s="119" t="e">
        <f>'القائمة الإسمية للمترشحين'!#REF!</f>
        <v>#REF!</v>
      </c>
      <c r="C100" s="103"/>
      <c r="D100" s="103"/>
      <c r="E100" s="104"/>
      <c r="F100" s="105"/>
      <c r="G100" s="104"/>
    </row>
    <row r="101" spans="1:7" ht="18.75" x14ac:dyDescent="0.25">
      <c r="A101" s="103">
        <v>89</v>
      </c>
      <c r="B101" s="119" t="e">
        <f>'القائمة الإسمية للمترشحين'!#REF!</f>
        <v>#REF!</v>
      </c>
      <c r="C101" s="103"/>
      <c r="D101" s="103"/>
      <c r="E101" s="104"/>
      <c r="F101" s="105"/>
      <c r="G101" s="104"/>
    </row>
    <row r="102" spans="1:7" ht="18.75" x14ac:dyDescent="0.25">
      <c r="A102" s="103">
        <v>90</v>
      </c>
      <c r="B102" s="119" t="e">
        <f>'القائمة الإسمية للمترشحين'!#REF!</f>
        <v>#REF!</v>
      </c>
      <c r="C102" s="103"/>
      <c r="D102" s="103"/>
      <c r="E102" s="104"/>
      <c r="F102" s="105"/>
      <c r="G102" s="104"/>
    </row>
    <row r="103" spans="1:7" ht="18.75" x14ac:dyDescent="0.25">
      <c r="A103" s="103">
        <v>91</v>
      </c>
      <c r="B103" s="119" t="e">
        <f>'القائمة الإسمية للمترشحين'!#REF!</f>
        <v>#REF!</v>
      </c>
      <c r="C103" s="103"/>
      <c r="D103" s="103"/>
      <c r="E103" s="104"/>
      <c r="F103" s="105"/>
      <c r="G103" s="104"/>
    </row>
    <row r="104" spans="1:7" ht="18.75" x14ac:dyDescent="0.25">
      <c r="A104" s="103">
        <v>92</v>
      </c>
      <c r="B104" s="119" t="e">
        <f>'القائمة الإسمية للمترشحين'!#REF!</f>
        <v>#REF!</v>
      </c>
      <c r="C104" s="103"/>
      <c r="D104" s="103"/>
      <c r="E104" s="104"/>
      <c r="F104" s="105"/>
      <c r="G104" s="104"/>
    </row>
    <row r="105" spans="1:7" ht="18.75" x14ac:dyDescent="0.25">
      <c r="A105" s="103">
        <v>93</v>
      </c>
      <c r="B105" s="119" t="e">
        <f>'القائمة الإسمية للمترشحين'!#REF!</f>
        <v>#REF!</v>
      </c>
      <c r="C105" s="103"/>
      <c r="D105" s="103"/>
      <c r="E105" s="104"/>
      <c r="F105" s="105"/>
      <c r="G105" s="104"/>
    </row>
    <row r="106" spans="1:7" ht="18.75" x14ac:dyDescent="0.25">
      <c r="A106" s="103">
        <v>94</v>
      </c>
      <c r="B106" s="119" t="e">
        <f>'القائمة الإسمية للمترشحين'!#REF!</f>
        <v>#REF!</v>
      </c>
      <c r="C106" s="103"/>
      <c r="D106" s="103"/>
      <c r="E106" s="104"/>
      <c r="F106" s="105"/>
      <c r="G106" s="104"/>
    </row>
    <row r="107" spans="1:7" ht="18.75" x14ac:dyDescent="0.25">
      <c r="A107" s="103">
        <v>95</v>
      </c>
      <c r="B107" s="119" t="e">
        <f>'القائمة الإسمية للمترشحين'!#REF!</f>
        <v>#REF!</v>
      </c>
      <c r="C107" s="103"/>
      <c r="D107" s="103"/>
      <c r="E107" s="104"/>
      <c r="F107" s="105"/>
      <c r="G107" s="104"/>
    </row>
    <row r="108" spans="1:7" ht="18.75" x14ac:dyDescent="0.25">
      <c r="A108" s="103">
        <v>96</v>
      </c>
      <c r="B108" s="119" t="e">
        <f>'القائمة الإسمية للمترشحين'!#REF!</f>
        <v>#REF!</v>
      </c>
      <c r="C108" s="103"/>
      <c r="D108" s="103"/>
      <c r="E108" s="104"/>
      <c r="F108" s="105"/>
      <c r="G108" s="104"/>
    </row>
    <row r="109" spans="1:7" ht="18.75" x14ac:dyDescent="0.25">
      <c r="A109" s="103">
        <v>97</v>
      </c>
      <c r="B109" s="119" t="e">
        <f>'القائمة الإسمية للمترشحين'!#REF!</f>
        <v>#REF!</v>
      </c>
      <c r="C109" s="103"/>
      <c r="D109" s="103"/>
      <c r="E109" s="104"/>
      <c r="F109" s="105"/>
      <c r="G109" s="104"/>
    </row>
    <row r="110" spans="1:7" ht="18.75" x14ac:dyDescent="0.25">
      <c r="A110" s="103">
        <v>98</v>
      </c>
      <c r="B110" s="119" t="e">
        <f>'القائمة الإسمية للمترشحين'!#REF!</f>
        <v>#REF!</v>
      </c>
      <c r="C110" s="103"/>
      <c r="D110" s="103"/>
      <c r="E110" s="104"/>
      <c r="F110" s="105"/>
      <c r="G110" s="104"/>
    </row>
    <row r="111" spans="1:7" ht="18.75" x14ac:dyDescent="0.25">
      <c r="A111" s="103">
        <v>99</v>
      </c>
      <c r="B111" s="119" t="e">
        <f>'القائمة الإسمية للمترشحين'!#REF!</f>
        <v>#REF!</v>
      </c>
      <c r="C111" s="103"/>
      <c r="D111" s="103"/>
      <c r="E111" s="104"/>
      <c r="F111" s="105"/>
      <c r="G111" s="104"/>
    </row>
    <row r="112" spans="1:7" ht="18.75" x14ac:dyDescent="0.25">
      <c r="A112" s="103">
        <v>100</v>
      </c>
      <c r="B112" s="119" t="e">
        <f>'القائمة الإسمية للمترشحين'!#REF!</f>
        <v>#REF!</v>
      </c>
      <c r="C112" s="103"/>
      <c r="D112" s="103"/>
      <c r="E112" s="104"/>
      <c r="F112" s="105"/>
      <c r="G112" s="104"/>
    </row>
    <row r="113" spans="1:7" ht="18.75" x14ac:dyDescent="0.25">
      <c r="A113" s="111"/>
      <c r="B113" s="111"/>
      <c r="C113" s="111"/>
      <c r="D113" s="111"/>
      <c r="E113" s="112"/>
      <c r="F113" s="113"/>
      <c r="G113" s="112"/>
    </row>
    <row r="114" spans="1:7" ht="18.75" x14ac:dyDescent="0.25">
      <c r="A114" s="111"/>
      <c r="B114" s="111"/>
      <c r="C114" s="111"/>
      <c r="D114" s="111"/>
      <c r="E114" s="112"/>
      <c r="F114" s="113"/>
      <c r="G114" s="112"/>
    </row>
    <row r="115" spans="1:7" ht="18.75" x14ac:dyDescent="0.25">
      <c r="A115" s="111"/>
      <c r="B115" s="111"/>
      <c r="C115" s="111"/>
      <c r="D115" s="111"/>
      <c r="E115" s="112"/>
      <c r="F115" s="113"/>
      <c r="G115" s="112"/>
    </row>
    <row r="117" spans="1:7" ht="18" x14ac:dyDescent="0.45">
      <c r="B117" s="206" t="s">
        <v>78</v>
      </c>
      <c r="C117" s="206"/>
      <c r="D117" s="206"/>
      <c r="F117" s="206" t="s">
        <v>79</v>
      </c>
      <c r="G117" s="206"/>
    </row>
    <row r="126" spans="1:7" ht="15.75" thickBot="1" x14ac:dyDescent="0.3"/>
    <row r="127" spans="1:7" x14ac:dyDescent="0.25">
      <c r="D127" s="198" t="s">
        <v>82</v>
      </c>
      <c r="E127" s="199"/>
      <c r="F127" s="199"/>
      <c r="G127" s="199"/>
    </row>
    <row r="128" spans="1:7" ht="15.75" thickBot="1" x14ac:dyDescent="0.3">
      <c r="D128" s="201"/>
      <c r="E128" s="202"/>
      <c r="F128" s="202"/>
      <c r="G128" s="202"/>
    </row>
  </sheetData>
  <mergeCells count="12">
    <mergeCell ref="D127:G128"/>
    <mergeCell ref="B117:D117"/>
    <mergeCell ref="F117:G117"/>
    <mergeCell ref="A7:G7"/>
    <mergeCell ref="A8:G8"/>
    <mergeCell ref="A10:G10"/>
    <mergeCell ref="A6:G6"/>
    <mergeCell ref="A1:G1"/>
    <mergeCell ref="A2:G2"/>
    <mergeCell ref="A3:G3"/>
    <mergeCell ref="A4:G4"/>
    <mergeCell ref="A5:G5"/>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القائمة الإسمية للمترشحين</vt:lpstr>
      <vt:lpstr>حجز النقاط المقياس الأول</vt:lpstr>
      <vt:lpstr>حجز النقاط المقياس الثاني</vt:lpstr>
      <vt:lpstr>المحضر النهائي+ ِCode</vt:lpstr>
      <vt:lpstr>المحضر النهــائي للمسابقة </vt:lpstr>
      <vt:lpstr>قتح الأقفال </vt:lpstr>
      <vt:lpstr>'القائمة الإسمية للمترشحين'!Print_Area</vt:lpstr>
      <vt:lpstr>'المحضر النهــائي للمسابقة '!Print_Area</vt:lpstr>
      <vt:lpstr>'المحضر النهائي+ ِCode'!Print_Area</vt:lpstr>
      <vt:lpstr>'حجز النقاط المقياس الأول'!Print_Area</vt:lpstr>
      <vt:lpstr>'حجز النقاط المقياس الثاني'!Print_Area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service-info</dc:creator>
  <cp:lastModifiedBy>Bibo</cp:lastModifiedBy>
  <cp:lastPrinted>2017-10-12T14:35:20Z</cp:lastPrinted>
  <dcterms:created xsi:type="dcterms:W3CDTF">2016-09-25T08:46:05Z</dcterms:created>
  <dcterms:modified xsi:type="dcterms:W3CDTF">2021-02-14T21:03:54Z</dcterms:modified>
</cp:coreProperties>
</file>